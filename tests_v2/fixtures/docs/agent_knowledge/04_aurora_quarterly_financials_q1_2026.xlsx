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P&amp;L Statement" sheetId="2" state="visible" r:id="rId2"/>
    <sheet xmlns:r="http://schemas.openxmlformats.org/officeDocument/2006/relationships" name="Headcount by Dept" sheetId="3" state="visible" r:id="rId3"/>
    <sheet xmlns:r="http://schemas.openxmlformats.org/officeDocument/2006/relationships" name="Customer Concentration" sheetId="4" state="visible" r:id="rId4"/>
    <sheet xmlns:r="http://schemas.openxmlformats.org/officeDocument/2006/relationships" name="Cash Flow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i val="1"/>
      <sz val="14"/>
    </font>
    <font>
      <b val="1"/>
    </font>
    <font>
      <b val="1"/>
      <color rgb="001F3864"/>
      <sz val="14"/>
    </font>
    <font>
      <name val="Calibri"/>
      <b val="1"/>
      <color rgb="00FFFFFF"/>
      <sz val="12"/>
    </font>
    <font>
      <b val="1"/>
      <color rgb="001F3864"/>
    </font>
    <font>
      <i val="1"/>
    </font>
    <font>
      <b val="1"/>
      <i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0" borderId="0" pivotButton="0" quotePrefix="0" xfId="0"/>
    <xf numFmtId="164" fontId="0" fillId="0" borderId="0" pivotButton="0" quotePrefix="0" xfId="0"/>
    <xf numFmtId="3" fontId="0" fillId="0" borderId="1" pivotButton="0" quotePrefix="0" xfId="0"/>
    <xf numFmtId="3" fontId="3" fillId="3" borderId="1" pivotButton="0" quotePrefix="0" xfId="0"/>
    <xf numFmtId="0" fontId="8" fillId="0" borderId="0" pivotButton="0" quotePrefix="0" xfId="0"/>
    <xf numFmtId="165" fontId="0" fillId="0" borderId="1" pivotButton="0" quotePrefix="0" xfId="0"/>
    <xf numFmtId="0" fontId="3" fillId="0" borderId="1" pivotButton="0" quotePrefix="0" xfId="0"/>
    <xf numFmtId="0" fontId="9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AURORA BIOPLASTICS, INC.</t>
        </is>
      </c>
    </row>
    <row r="3">
      <c r="A3" s="2" t="inlineStr">
        <is>
          <t>Quarterly Financial Report — Q1 2026</t>
        </is>
      </c>
    </row>
    <row r="5">
      <c r="A5" s="3" t="inlineStr">
        <is>
          <t>Company name</t>
        </is>
      </c>
      <c r="B5" t="inlineStr">
        <is>
          <t>Aurora Bioplastics, Inc.</t>
        </is>
      </c>
    </row>
    <row r="6">
      <c r="A6" s="3" t="inlineStr">
        <is>
          <t>Headquarters</t>
        </is>
      </c>
      <c r="B6" t="inlineStr">
        <is>
          <t>Munich, Germany</t>
        </is>
      </c>
    </row>
    <row r="7">
      <c r="A7" s="3" t="inlineStr">
        <is>
          <t>Founded</t>
        </is>
      </c>
      <c r="B7" t="inlineStr">
        <is>
          <t>April 2014</t>
        </is>
      </c>
    </row>
    <row r="8">
      <c r="A8" s="3" t="inlineStr">
        <is>
          <t>CEO</t>
        </is>
      </c>
      <c r="B8" t="inlineStr">
        <is>
          <t>Dr. Hanna Engström</t>
        </is>
      </c>
    </row>
    <row r="9">
      <c r="A9" s="3" t="inlineStr">
        <is>
          <t>CFO</t>
        </is>
      </c>
      <c r="B9" t="inlineStr">
        <is>
          <t>Theo Brandt</t>
        </is>
      </c>
    </row>
    <row r="10">
      <c r="A10" s="3" t="inlineStr">
        <is>
          <t>Ticker symbol</t>
        </is>
      </c>
      <c r="B10" t="inlineStr">
        <is>
          <t>ABPL (Frankfurt Stock Exchange)</t>
        </is>
      </c>
    </row>
    <row r="11">
      <c r="A11" s="3" t="inlineStr">
        <is>
          <t>Fiscal year start</t>
        </is>
      </c>
      <c r="B11" t="inlineStr">
        <is>
          <t>January 1</t>
        </is>
      </c>
    </row>
    <row r="12">
      <c r="A12" s="3" t="inlineStr">
        <is>
          <t>Total employees</t>
        </is>
      </c>
      <c r="B12" t="n">
        <v>312</v>
      </c>
    </row>
    <row r="13">
      <c r="A13" s="3" t="inlineStr">
        <is>
          <t>Manufacturing sites</t>
        </is>
      </c>
      <c r="B13" t="n">
        <v>4</v>
      </c>
    </row>
    <row r="14">
      <c r="A14" s="3" t="inlineStr">
        <is>
          <t>Reporting currency</t>
        </is>
      </c>
      <c r="B14" t="inlineStr">
        <is>
          <t>EUR (figures in USD-equivalent)</t>
        </is>
      </c>
    </row>
    <row r="15">
      <c r="A15" s="3" t="inlineStr">
        <is>
          <t>Report date</t>
        </is>
      </c>
      <c r="B15" t="inlineStr">
        <is>
          <t>April 28, 2026</t>
        </is>
      </c>
    </row>
    <row r="16">
      <c r="A16" s="3" t="inlineStr">
        <is>
          <t>Auditor</t>
        </is>
      </c>
      <c r="B16" t="inlineStr">
        <is>
          <t>Steinmetz &amp; Partners GmbH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Profit &amp; Loss Statement — Q1 2026 (USD)</t>
        </is>
      </c>
    </row>
    <row r="3" ht="22" customHeight="1">
      <c r="A3" s="5" t="inlineStr">
        <is>
          <t>Line item</t>
        </is>
      </c>
      <c r="B3" s="5" t="inlineStr">
        <is>
          <t>Jan 2026</t>
        </is>
      </c>
      <c r="C3" s="5" t="inlineStr">
        <is>
          <t>Feb 2026</t>
        </is>
      </c>
      <c r="D3" s="5" t="inlineStr">
        <is>
          <t>Mar 2026</t>
        </is>
      </c>
      <c r="E3" s="5" t="inlineStr">
        <is>
          <t>Q1 Total</t>
        </is>
      </c>
    </row>
    <row r="4">
      <c r="A4" s="6" t="inlineStr">
        <is>
          <t>Bioplastic resin sales</t>
        </is>
      </c>
      <c r="B4" s="7" t="n">
        <v>4120000</v>
      </c>
      <c r="C4" s="7" t="n">
        <v>4405000</v>
      </c>
      <c r="D4" s="7" t="n">
        <v>4835500</v>
      </c>
      <c r="E4" s="7">
        <f>SUM(B4:D4)</f>
        <v/>
      </c>
    </row>
    <row r="5">
      <c r="A5" s="6" t="inlineStr">
        <is>
          <t>Compostable film sales</t>
        </is>
      </c>
      <c r="B5" s="7" t="n">
        <v>820000</v>
      </c>
      <c r="C5" s="7" t="n">
        <v>875000</v>
      </c>
      <c r="D5" s="7" t="n">
        <v>915000</v>
      </c>
      <c r="E5" s="7">
        <f>SUM(B5:D5)</f>
        <v/>
      </c>
    </row>
    <row r="6">
      <c r="A6" s="6" t="inlineStr">
        <is>
          <t>Engineering services</t>
        </is>
      </c>
      <c r="B6" s="7" t="n">
        <v>285000</v>
      </c>
      <c r="C6" s="7" t="n">
        <v>295000</v>
      </c>
      <c r="D6" s="7" t="n">
        <v>310000</v>
      </c>
      <c r="E6" s="7">
        <f>SUM(B6:D6)</f>
        <v/>
      </c>
    </row>
    <row r="7">
      <c r="A7" s="6" t="inlineStr">
        <is>
          <t>Licensing revenue</t>
        </is>
      </c>
      <c r="B7" s="7" t="n">
        <v>85000</v>
      </c>
      <c r="C7" s="7" t="n">
        <v>87500</v>
      </c>
      <c r="D7" s="7" t="n">
        <v>87500</v>
      </c>
      <c r="E7" s="7">
        <f>SUM(B7:D7)</f>
        <v/>
      </c>
    </row>
    <row r="8">
      <c r="A8" s="8" t="inlineStr">
        <is>
          <t>Total Revenue</t>
        </is>
      </c>
      <c r="B8" s="9">
        <f>SUM(B4:B7)</f>
        <v/>
      </c>
      <c r="C8" s="9">
        <f>SUM(C4:C7)</f>
        <v/>
      </c>
      <c r="D8" s="9">
        <f>SUM(D4:D7)</f>
        <v/>
      </c>
      <c r="E8" s="9">
        <f>SUM(E4:E7)</f>
        <v/>
      </c>
    </row>
    <row r="10">
      <c r="A10" s="6" t="inlineStr">
        <is>
          <t>Raw materials (bio-feedstock)</t>
        </is>
      </c>
      <c r="B10" s="7" t="n">
        <v>-1840000</v>
      </c>
      <c r="C10" s="7" t="n">
        <v>-1960000</v>
      </c>
      <c r="D10" s="7" t="n">
        <v>-2140500</v>
      </c>
      <c r="E10" s="7">
        <f>SUM(B10:D10)</f>
        <v/>
      </c>
    </row>
    <row r="11">
      <c r="A11" s="6" t="inlineStr">
        <is>
          <t>Manufacturing labor</t>
        </is>
      </c>
      <c r="B11" s="7" t="n">
        <v>-730000</v>
      </c>
      <c r="C11" s="7" t="n">
        <v>-745000</v>
      </c>
      <c r="D11" s="7" t="n">
        <v>-780000</v>
      </c>
      <c r="E11" s="7">
        <f>SUM(B11:D11)</f>
        <v/>
      </c>
    </row>
    <row r="12">
      <c r="A12" s="6" t="inlineStr">
        <is>
          <t>Utilities (Munich + 3 plants)</t>
        </is>
      </c>
      <c r="B12" s="7" t="n">
        <v>-210000</v>
      </c>
      <c r="C12" s="7" t="n">
        <v>-218500</v>
      </c>
      <c r="D12" s="7" t="n">
        <v>-225000</v>
      </c>
      <c r="E12" s="7">
        <f>SUM(B12:D12)</f>
        <v/>
      </c>
    </row>
    <row r="13">
      <c r="A13" s="6" t="inlineStr">
        <is>
          <t>Sales &amp; marketing</t>
        </is>
      </c>
      <c r="B13" s="7" t="n">
        <v>-385000</v>
      </c>
      <c r="C13" s="7" t="n">
        <v>-395000</v>
      </c>
      <c r="D13" s="7" t="n">
        <v>-402000</v>
      </c>
      <c r="E13" s="7">
        <f>SUM(B13:D13)</f>
        <v/>
      </c>
    </row>
    <row r="14">
      <c r="A14" s="6" t="inlineStr">
        <is>
          <t>R&amp;D</t>
        </is>
      </c>
      <c r="B14" s="7" t="n">
        <v>-545000</v>
      </c>
      <c r="C14" s="7" t="n">
        <v>-560000</v>
      </c>
      <c r="D14" s="7" t="n">
        <v>-595000</v>
      </c>
      <c r="E14" s="7">
        <f>SUM(B14:D14)</f>
        <v/>
      </c>
    </row>
    <row r="15">
      <c r="A15" s="6" t="inlineStr">
        <is>
          <t>G&amp;A</t>
        </is>
      </c>
      <c r="B15" s="7" t="n">
        <v>-385000</v>
      </c>
      <c r="C15" s="7" t="n">
        <v>-390000</v>
      </c>
      <c r="D15" s="7" t="n">
        <v>-398000</v>
      </c>
      <c r="E15" s="7">
        <f>SUM(B15:D15)</f>
        <v/>
      </c>
    </row>
    <row r="16">
      <c r="A16" s="6" t="inlineStr">
        <is>
          <t>Depreciation &amp; amortization</t>
        </is>
      </c>
      <c r="B16" s="7" t="n">
        <v>-185000</v>
      </c>
      <c r="C16" s="7" t="n">
        <v>-185000</v>
      </c>
      <c r="D16" s="7" t="n">
        <v>-185000</v>
      </c>
      <c r="E16" s="7">
        <f>SUM(B16:D16)</f>
        <v/>
      </c>
    </row>
    <row r="17">
      <c r="A17" s="10" t="inlineStr">
        <is>
          <t>Net Income</t>
        </is>
      </c>
      <c r="B17" s="11">
        <f>B8+SUM(B10:B16)</f>
        <v/>
      </c>
      <c r="C17" s="11">
        <f>C8+SUM(C10:C16)</f>
        <v/>
      </c>
      <c r="D17" s="11">
        <f>D8+SUM(D10:D16)</f>
        <v/>
      </c>
      <c r="E17" s="11">
        <f>E8+SUM(E10:E16)</f>
        <v/>
      </c>
    </row>
    <row r="20">
      <c r="A20" s="12" t="inlineStr">
        <is>
          <t>Anchor — confirmed Q1 totals (for audit cross-check):</t>
        </is>
      </c>
    </row>
    <row r="21">
      <c r="A21" s="3" t="inlineStr">
        <is>
          <t>Q1 2026 Total Revenue</t>
        </is>
      </c>
      <c r="B21" s="13" t="n">
        <v>17120500</v>
      </c>
    </row>
    <row r="22">
      <c r="A22" s="3" t="inlineStr">
        <is>
          <t>Q1 2026 Net Income</t>
        </is>
      </c>
      <c r="B22" s="13" t="n">
        <v>3661500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</cols>
  <sheetData>
    <row r="1">
      <c r="A1" s="4" t="inlineStr">
        <is>
          <t>Headcount by Department — As of March 31, 2026</t>
        </is>
      </c>
    </row>
    <row r="3" ht="22" customHeight="1">
      <c r="A3" s="5" t="inlineStr">
        <is>
          <t>Department</t>
        </is>
      </c>
      <c r="B3" s="5" t="inlineStr">
        <is>
          <t>Munich HQ</t>
        </is>
      </c>
      <c r="C3" s="5" t="inlineStr">
        <is>
          <t>Other Sites</t>
        </is>
      </c>
      <c r="D3" s="5" t="inlineStr">
        <is>
          <t>Total</t>
        </is>
      </c>
    </row>
    <row r="4">
      <c r="A4" s="6" t="inlineStr">
        <is>
          <t>Manufacturing</t>
        </is>
      </c>
      <c r="B4" s="14" t="n">
        <v>84</v>
      </c>
      <c r="C4" s="14" t="n">
        <v>64</v>
      </c>
      <c r="D4" s="14">
        <f>SUM(B4:C4)</f>
        <v/>
      </c>
    </row>
    <row r="5">
      <c r="A5" s="6" t="inlineStr">
        <is>
          <t>R&amp;D</t>
        </is>
      </c>
      <c r="B5" s="14" t="n">
        <v>42</v>
      </c>
      <c r="C5" s="14" t="n">
        <v>6</v>
      </c>
      <c r="D5" s="14">
        <f>SUM(B5:C5)</f>
        <v/>
      </c>
    </row>
    <row r="6">
      <c r="A6" s="6" t="inlineStr">
        <is>
          <t>Engineering</t>
        </is>
      </c>
      <c r="B6" s="14" t="n">
        <v>35</v>
      </c>
      <c r="C6" s="14" t="n">
        <v>4</v>
      </c>
      <c r="D6" s="14">
        <f>SUM(B6:C6)</f>
        <v/>
      </c>
    </row>
    <row r="7">
      <c r="A7" s="6" t="inlineStr">
        <is>
          <t>Sales &amp; Marketing</t>
        </is>
      </c>
      <c r="B7" s="14" t="n">
        <v>24</v>
      </c>
      <c r="C7" s="14" t="n">
        <v>5</v>
      </c>
      <c r="D7" s="14">
        <f>SUM(B7:C7)</f>
        <v/>
      </c>
    </row>
    <row r="8">
      <c r="A8" s="6" t="inlineStr">
        <is>
          <t>G&amp;A (Finance, HR, Legal)</t>
        </is>
      </c>
      <c r="B8" s="14" t="n">
        <v>18</v>
      </c>
      <c r="C8" s="14" t="n">
        <v>2</v>
      </c>
      <c r="D8" s="14">
        <f>SUM(B8:C8)</f>
        <v/>
      </c>
    </row>
    <row r="9">
      <c r="A9" s="6" t="inlineStr">
        <is>
          <t>Quality &amp; Compliance</t>
        </is>
      </c>
      <c r="B9" s="14" t="n">
        <v>12</v>
      </c>
      <c r="C9" s="14" t="n">
        <v>4</v>
      </c>
      <c r="D9" s="14">
        <f>SUM(B9:C9)</f>
        <v/>
      </c>
    </row>
    <row r="10">
      <c r="A10" s="6" t="inlineStr">
        <is>
          <t>Customer Success</t>
        </is>
      </c>
      <c r="B10" s="14" t="n">
        <v>8</v>
      </c>
      <c r="C10" s="14" t="n">
        <v>4</v>
      </c>
      <c r="D10" s="14">
        <f>SUM(B10:C10)</f>
        <v/>
      </c>
    </row>
    <row r="11">
      <c r="A11" s="8" t="inlineStr">
        <is>
          <t>Company total</t>
        </is>
      </c>
      <c r="B11" s="15">
        <f>SUM(B4:B10)</f>
        <v/>
      </c>
      <c r="C11" s="15">
        <f>SUM(C4:C10)</f>
        <v/>
      </c>
      <c r="D11" s="15">
        <f>SUM(D4:D10)</f>
        <v/>
      </c>
    </row>
    <row r="14">
      <c r="A14" s="16" t="inlineStr">
        <is>
          <t>Total Aurora Bioplastics employees as of March 31, 2026: 312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</cols>
  <sheetData>
    <row r="1">
      <c r="A1" s="4" t="inlineStr">
        <is>
          <t>Top 10 Customers by Q1 2026 Revenue Contribution</t>
        </is>
      </c>
    </row>
    <row r="3" ht="22" customHeight="1">
      <c r="A3" s="5" t="inlineStr">
        <is>
          <t>Rank</t>
        </is>
      </c>
      <c r="B3" s="5" t="inlineStr">
        <is>
          <t>Customer</t>
        </is>
      </c>
      <c r="C3" s="5" t="inlineStr">
        <is>
          <t>Revenue (USD)</t>
        </is>
      </c>
      <c r="D3" s="5" t="inlineStr">
        <is>
          <t>% of Q1 Revenue</t>
        </is>
      </c>
    </row>
    <row r="4">
      <c r="A4" s="6" t="n">
        <v>1</v>
      </c>
      <c r="B4" s="6" t="inlineStr">
        <is>
          <t>Vellichor Industries</t>
        </is>
      </c>
      <c r="C4" s="7" t="n">
        <v>3260510</v>
      </c>
      <c r="D4" s="17" t="n">
        <v>0.22</v>
      </c>
    </row>
    <row r="5">
      <c r="A5" s="6" t="n">
        <v>2</v>
      </c>
      <c r="B5" s="6" t="inlineStr">
        <is>
          <t>Bramble &amp; Forest Co.</t>
        </is>
      </c>
      <c r="C5" s="7" t="n">
        <v>1823322</v>
      </c>
      <c r="D5" s="17" t="n">
        <v>0.123</v>
      </c>
    </row>
    <row r="6">
      <c r="A6" s="6" t="n">
        <v>3</v>
      </c>
      <c r="B6" s="6" t="inlineStr">
        <is>
          <t>PolarKraft Packaging GmbH</t>
        </is>
      </c>
      <c r="C6" s="7" t="n">
        <v>1408948</v>
      </c>
      <c r="D6" s="17" t="n">
        <v>0.095</v>
      </c>
    </row>
    <row r="7">
      <c r="A7" s="6" t="n">
        <v>4</v>
      </c>
      <c r="B7" s="6" t="inlineStr">
        <is>
          <t>Sundial Foods Cooperative</t>
        </is>
      </c>
      <c r="C7" s="7" t="n">
        <v>1171820</v>
      </c>
      <c r="D7" s="17" t="n">
        <v>0.079</v>
      </c>
    </row>
    <row r="8">
      <c r="A8" s="6" t="n">
        <v>5</v>
      </c>
      <c r="B8" s="6" t="inlineStr">
        <is>
          <t>Tessuto Holdings</t>
        </is>
      </c>
      <c r="C8" s="7" t="n">
        <v>926281</v>
      </c>
      <c r="D8" s="17" t="n">
        <v>0.063</v>
      </c>
    </row>
    <row r="9">
      <c r="A9" s="6" t="n">
        <v>6</v>
      </c>
      <c r="B9" s="6" t="inlineStr">
        <is>
          <t>Greenline Distributors</t>
        </is>
      </c>
      <c r="C9" s="7" t="n">
        <v>785487</v>
      </c>
      <c r="D9" s="17" t="n">
        <v>0.053</v>
      </c>
    </row>
    <row r="10">
      <c r="A10" s="6" t="n">
        <v>7</v>
      </c>
      <c r="B10" s="6" t="inlineStr">
        <is>
          <t>Cypress Container Corp</t>
        </is>
      </c>
      <c r="C10" s="7" t="n">
        <v>637281</v>
      </c>
      <c r="D10" s="17" t="n">
        <v>0.043</v>
      </c>
    </row>
    <row r="11">
      <c r="A11" s="6" t="n">
        <v>8</v>
      </c>
      <c r="B11" s="6" t="inlineStr">
        <is>
          <t>Mira Pharmaceuticals AG</t>
        </is>
      </c>
      <c r="C11" s="7" t="n">
        <v>518718</v>
      </c>
      <c r="D11" s="17" t="n">
        <v>0.035</v>
      </c>
    </row>
    <row r="12">
      <c r="A12" s="6" t="n">
        <v>9</v>
      </c>
      <c r="B12" s="6" t="inlineStr">
        <is>
          <t>Aurora Bioplastics — Internal</t>
        </is>
      </c>
      <c r="C12" s="7" t="n">
        <v>385333</v>
      </c>
      <c r="D12" s="17" t="n">
        <v>0.026</v>
      </c>
    </row>
    <row r="13">
      <c r="A13" s="6" t="n">
        <v>10</v>
      </c>
      <c r="B13" s="6" t="inlineStr">
        <is>
          <t>Other (38 customers, none &gt; 2%)</t>
        </is>
      </c>
      <c r="C13" s="7" t="n">
        <v>3902800</v>
      </c>
      <c r="D13" s="17" t="n">
        <v>0.263</v>
      </c>
    </row>
    <row r="16">
      <c r="A16" s="16" t="inlineStr">
        <is>
          <t>Top customer: Vellichor Industries — 22.0% of Q1 2026 revenue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4" customWidth="1" min="3" max="3"/>
  </cols>
  <sheetData>
    <row r="1">
      <c r="A1" s="4" t="inlineStr">
        <is>
          <t>Cash Flow Summary — Q1 2026</t>
        </is>
      </c>
    </row>
    <row r="3" ht="22" customHeight="1">
      <c r="A3" s="5" t="inlineStr">
        <is>
          <t>Item</t>
        </is>
      </c>
      <c r="B3" s="5" t="inlineStr">
        <is>
          <t>Amount (USD)</t>
        </is>
      </c>
      <c r="C3" s="5" t="inlineStr">
        <is>
          <t>Notes</t>
        </is>
      </c>
    </row>
    <row r="4">
      <c r="A4" s="18" t="inlineStr">
        <is>
          <t>Opening cash balance (Jan 1, 2026)</t>
        </is>
      </c>
      <c r="B4" s="7" t="n">
        <v>6948200</v>
      </c>
      <c r="C4" s="6" t="inlineStr">
        <is>
          <t>Audited closing balance Q4 2025</t>
        </is>
      </c>
    </row>
    <row r="5">
      <c r="A5" s="19" t="inlineStr">
        <is>
          <t>Net cash from operating activities</t>
        </is>
      </c>
      <c r="B5" s="7" t="n">
        <v>2482300</v>
      </c>
      <c r="C5" s="6" t="inlineStr">
        <is>
          <t>Excludes deferred tax timing</t>
        </is>
      </c>
    </row>
    <row r="6">
      <c r="A6" s="19" t="inlineStr">
        <is>
          <t>Net cash used in investing activities</t>
        </is>
      </c>
      <c r="B6" s="7" t="n">
        <v>-1270500</v>
      </c>
      <c r="C6" s="6" t="inlineStr">
        <is>
          <t>Capacity expansion at Plant #3 (Bremen)</t>
        </is>
      </c>
    </row>
    <row r="7">
      <c r="A7" s="19" t="inlineStr">
        <is>
          <t>Net cash used in financing activities</t>
        </is>
      </c>
      <c r="B7" s="7" t="n">
        <v>-1080000</v>
      </c>
      <c r="C7" s="6" t="inlineStr">
        <is>
          <t>Term-loan principal + Q1 dividend</t>
        </is>
      </c>
    </row>
    <row r="8">
      <c r="A8" s="19" t="inlineStr">
        <is>
          <t>Foreign exchange effects</t>
        </is>
      </c>
      <c r="B8" s="7" t="n">
        <v>221000</v>
      </c>
      <c r="C8" s="6" t="inlineStr">
        <is>
          <t>EUR/USD favorable movement</t>
        </is>
      </c>
    </row>
    <row r="9">
      <c r="A9" s="18" t="inlineStr">
        <is>
          <t>Closing cash balance (Mar 31, 2026)</t>
        </is>
      </c>
      <c r="B9" s="7" t="n">
        <v>8301000</v>
      </c>
      <c r="C9" s="6" t="inlineStr">
        <is>
          <t>Increase of $1.353M from open</t>
        </is>
      </c>
    </row>
    <row r="10">
      <c r="A10" s="20" t="n"/>
      <c r="B10" s="20" t="n"/>
      <c r="C10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2026-05-21T15:02:33Z</dcterms:created>
  <dcterms:modified xmlns:dcterms="http://purl.org/dc/terms/" xmlns:xsi="http://www.w3.org/2001/XMLSchema-instance" xsi:type="dcterms:W3CDTF">2026-05-21T15:02:33Z</dcterms:modified>
</cp:coreProperties>
</file>