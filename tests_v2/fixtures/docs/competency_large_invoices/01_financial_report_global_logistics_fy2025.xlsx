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arterly P&amp;L" sheetId="2" state="visible" r:id="rId2"/>
    <sheet xmlns:r="http://schemas.openxmlformats.org/officeDocument/2006/relationships" name="Customer Concentration" sheetId="3" state="visible" r:id="rId3"/>
    <sheet xmlns:r="http://schemas.openxmlformats.org/officeDocument/2006/relationships" name="Departmental Spend" sheetId="4" state="visible" r:id="rId4"/>
    <sheet xmlns:r="http://schemas.openxmlformats.org/officeDocument/2006/relationships" name="Anch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#,##0.0"/>
  </numFmts>
  <fonts count="5">
    <font>
      <name val="Calibri"/>
      <family val="2"/>
      <color theme="1"/>
      <sz val="11"/>
      <scheme val="minor"/>
    </font>
    <font>
      <b val="1"/>
      <color rgb="002E4F8A"/>
      <sz val="18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4F8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0" fontId="4" fillId="3" borderId="0" pivotButton="0" quotePrefix="0" xfId="0"/>
    <xf numFmtId="164" fontId="4" fillId="3" borderId="1" pivotButton="0" quotePrefix="0" xfId="0"/>
    <xf numFmtId="0" fontId="4" fillId="0" borderId="0" pivotButton="0" quotePrefix="0" xfId="0"/>
    <xf numFmtId="3" fontId="4" fillId="3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GLOBAL LOGISTICS CORP — Annual Financial Report FY2025</t>
        </is>
      </c>
    </row>
    <row r="3">
      <c r="A3" s="2" t="inlineStr">
        <is>
          <t>Headline KPIs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Total revenue (FY2025)</t>
        </is>
      </c>
      <c r="B6" s="5" t="n">
        <v>184350000</v>
      </c>
    </row>
    <row r="7">
      <c r="A7" s="4" t="inlineStr">
        <is>
          <t>Cost of revenue</t>
        </is>
      </c>
      <c r="B7" s="5" t="n">
        <v>108240000</v>
      </c>
    </row>
    <row r="8">
      <c r="A8" s="4" t="inlineStr">
        <is>
          <t>Gross profit</t>
        </is>
      </c>
      <c r="B8" s="5" t="n">
        <v>76110000</v>
      </c>
    </row>
    <row r="9">
      <c r="A9" s="4" t="inlineStr">
        <is>
          <t>Gross margin</t>
        </is>
      </c>
      <c r="B9" s="6" t="n">
        <v>0.4128</v>
      </c>
    </row>
    <row r="10">
      <c r="A10" s="4" t="inlineStr">
        <is>
          <t>Operating expenses</t>
        </is>
      </c>
      <c r="B10" s="5" t="n">
        <v>54802000</v>
      </c>
    </row>
    <row r="11">
      <c r="A11" s="4" t="inlineStr">
        <is>
          <t>Operating income</t>
        </is>
      </c>
      <c r="B11" s="5" t="n">
        <v>21308000</v>
      </c>
    </row>
    <row r="12">
      <c r="A12" s="4" t="inlineStr">
        <is>
          <t>Operating margin</t>
        </is>
      </c>
      <c r="B12" s="6" t="n">
        <v>0.1156</v>
      </c>
    </row>
    <row r="13">
      <c r="A13" s="4" t="inlineStr">
        <is>
          <t>Net income</t>
        </is>
      </c>
      <c r="B13" s="5" t="n">
        <v>15847500</v>
      </c>
    </row>
    <row r="14">
      <c r="A14" s="4" t="inlineStr">
        <is>
          <t>Net margin</t>
        </is>
      </c>
      <c r="B14" s="6" t="n">
        <v>0.08599999999999999</v>
      </c>
    </row>
    <row r="15">
      <c r="A15" s="4" t="inlineStr">
        <is>
          <t>Total employees (year-end)</t>
        </is>
      </c>
      <c r="B15" s="7" t="n">
        <v>1842</v>
      </c>
    </row>
    <row r="16">
      <c r="A16" s="4" t="inlineStr">
        <is>
          <t>Total shipments handled (millions)</t>
        </is>
      </c>
      <c r="B16" s="8" t="n">
        <v>42.3</v>
      </c>
    </row>
    <row r="17">
      <c r="A17" s="4" t="inlineStr">
        <is>
          <t>Largest customer (Vellichor Industries) % of rev</t>
        </is>
      </c>
      <c r="B17" s="6" t="n">
        <v>0.118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2" t="inlineStr">
        <is>
          <t>Quarterly P&amp;L — FY2025 (USD)</t>
        </is>
      </c>
    </row>
    <row r="3">
      <c r="A3" s="3" t="inlineStr">
        <is>
          <t>Line item</t>
        </is>
      </c>
      <c r="B3" s="3" t="inlineStr">
        <is>
          <t>Q1 2025</t>
        </is>
      </c>
      <c r="C3" s="3" t="inlineStr">
        <is>
          <t>Q2 2025</t>
        </is>
      </c>
      <c r="D3" s="3" t="inlineStr">
        <is>
          <t>Q3 2025</t>
        </is>
      </c>
      <c r="E3" s="3" t="inlineStr">
        <is>
          <t>Q4 2025</t>
        </is>
      </c>
      <c r="F3" s="3" t="inlineStr">
        <is>
          <t>FY2025</t>
        </is>
      </c>
    </row>
    <row r="4">
      <c r="A4" s="4" t="inlineStr">
        <is>
          <t>Express revenue</t>
        </is>
      </c>
      <c r="B4" s="5" t="n">
        <v>11240000</v>
      </c>
      <c r="C4" s="5" t="n">
        <v>11995000</v>
      </c>
      <c r="D4" s="5" t="n">
        <v>12710000</v>
      </c>
      <c r="E4" s="5" t="n">
        <v>13420000</v>
      </c>
      <c r="F4" s="5">
        <f>SUM(B4:E4)</f>
        <v/>
      </c>
    </row>
    <row r="5">
      <c r="A5" s="4" t="inlineStr">
        <is>
          <t>Ground revenue</t>
        </is>
      </c>
      <c r="B5" s="5" t="n">
        <v>18510000</v>
      </c>
      <c r="C5" s="5" t="n">
        <v>19140000</v>
      </c>
      <c r="D5" s="5" t="n">
        <v>20280000</v>
      </c>
      <c r="E5" s="5" t="n">
        <v>21440000</v>
      </c>
      <c r="F5" s="5">
        <f>SUM(B5:E5)</f>
        <v/>
      </c>
    </row>
    <row r="6">
      <c r="A6" s="4" t="inlineStr">
        <is>
          <t>Freight revenue</t>
        </is>
      </c>
      <c r="B6" s="5" t="n">
        <v>9625000</v>
      </c>
      <c r="C6" s="5" t="n">
        <v>10120000</v>
      </c>
      <c r="D6" s="5" t="n">
        <v>10770000</v>
      </c>
      <c r="E6" s="5" t="n">
        <v>11350000</v>
      </c>
      <c r="F6" s="5">
        <f>SUM(B6:E6)</f>
        <v/>
      </c>
    </row>
    <row r="7">
      <c r="A7" s="4" t="inlineStr">
        <is>
          <t>Customs brokerage</t>
        </is>
      </c>
      <c r="B7" s="5" t="n">
        <v>2710000</v>
      </c>
      <c r="C7" s="5" t="n">
        <v>2870000</v>
      </c>
      <c r="D7" s="5" t="n">
        <v>3010000</v>
      </c>
      <c r="E7" s="5" t="n">
        <v>3160000</v>
      </c>
      <c r="F7" s="5">
        <f>SUM(B7:E7)</f>
        <v/>
      </c>
    </row>
    <row r="8">
      <c r="A8" s="9" t="inlineStr">
        <is>
          <t>TOTAL REVENUE</t>
        </is>
      </c>
      <c r="B8" s="10">
        <f>SUM(B4:B7)</f>
        <v/>
      </c>
      <c r="C8" s="10">
        <f>SUM(C4:C7)</f>
        <v/>
      </c>
      <c r="D8" s="10">
        <f>SUM(D4:D7)</f>
        <v/>
      </c>
      <c r="E8" s="10">
        <f>SUM(E4:E7)</f>
        <v/>
      </c>
      <c r="F8" s="10">
        <f>SUM(F4:F7)</f>
        <v/>
      </c>
    </row>
    <row r="10">
      <c r="A10" s="4" t="inlineStr">
        <is>
          <t>Driver / pilot wages</t>
        </is>
      </c>
      <c r="B10" s="5" t="n">
        <v>-14200000</v>
      </c>
      <c r="C10" s="5" t="n">
        <v>-14350000</v>
      </c>
      <c r="D10" s="5" t="n">
        <v>-14780000</v>
      </c>
      <c r="E10" s="5" t="n">
        <v>-15010000</v>
      </c>
      <c r="F10" s="5">
        <f>SUM(B10:E10)</f>
        <v/>
      </c>
    </row>
    <row r="11">
      <c r="A11" s="4" t="inlineStr">
        <is>
          <t>Fuel</t>
        </is>
      </c>
      <c r="B11" s="5" t="n">
        <v>-10120000</v>
      </c>
      <c r="C11" s="5" t="n">
        <v>-10510000</v>
      </c>
      <c r="D11" s="5" t="n">
        <v>-10980000</v>
      </c>
      <c r="E11" s="5" t="n">
        <v>-11240000</v>
      </c>
      <c r="F11" s="5">
        <f>SUM(B11:E11)</f>
        <v/>
      </c>
    </row>
    <row r="12">
      <c r="A12" s="4" t="inlineStr">
        <is>
          <t>Equipment maintenance</t>
        </is>
      </c>
      <c r="B12" s="5" t="n">
        <v>-3640000</v>
      </c>
      <c r="C12" s="5" t="n">
        <v>-3780000</v>
      </c>
      <c r="D12" s="5" t="n">
        <v>-3910000</v>
      </c>
      <c r="E12" s="5" t="n">
        <v>-4050000</v>
      </c>
      <c r="F12" s="5">
        <f>SUM(B12:E12)</f>
        <v/>
      </c>
    </row>
    <row r="13">
      <c r="A13" s="4" t="inlineStr">
        <is>
          <t>Sub-contracted carriers</t>
        </is>
      </c>
      <c r="B13" s="5" t="n">
        <v>-1840000</v>
      </c>
      <c r="C13" s="5" t="n">
        <v>-1910000</v>
      </c>
      <c r="D13" s="5" t="n">
        <v>-2010000</v>
      </c>
      <c r="E13" s="5" t="n">
        <v>-2120000</v>
      </c>
      <c r="F13" s="5">
        <f>SUM(B13:E13)</f>
        <v/>
      </c>
    </row>
    <row r="14">
      <c r="A14" s="4" t="inlineStr">
        <is>
          <t>Sales &amp; marketing</t>
        </is>
      </c>
      <c r="B14" s="5" t="n">
        <v>-4120000</v>
      </c>
      <c r="C14" s="5" t="n">
        <v>-4280000</v>
      </c>
      <c r="D14" s="5" t="n">
        <v>-4410000</v>
      </c>
      <c r="E14" s="5" t="n">
        <v>-4550000</v>
      </c>
      <c r="F14" s="5">
        <f>SUM(B14:E14)</f>
        <v/>
      </c>
    </row>
    <row r="15">
      <c r="A15" s="4" t="inlineStr">
        <is>
          <t>R&amp;D / technology</t>
        </is>
      </c>
      <c r="B15" s="5" t="n">
        <v>-2120000</v>
      </c>
      <c r="C15" s="5" t="n">
        <v>-2245000</v>
      </c>
      <c r="D15" s="5" t="n">
        <v>-2390000</v>
      </c>
      <c r="E15" s="5" t="n">
        <v>-2510000</v>
      </c>
      <c r="F15" s="5">
        <f>SUM(B15:E15)</f>
        <v/>
      </c>
    </row>
    <row r="16">
      <c r="A16" s="4" t="inlineStr">
        <is>
          <t>G&amp;A (HQ + finance + HR)</t>
        </is>
      </c>
      <c r="B16" s="5" t="n">
        <v>-3820000</v>
      </c>
      <c r="C16" s="5" t="n">
        <v>-3960000</v>
      </c>
      <c r="D16" s="5" t="n">
        <v>-4080000</v>
      </c>
      <c r="E16" s="5" t="n">
        <v>-4210000</v>
      </c>
      <c r="F16" s="5">
        <f>SUM(B16:E16)</f>
        <v/>
      </c>
    </row>
    <row r="17">
      <c r="A17" s="4" t="inlineStr">
        <is>
          <t>Insurance &amp; claims</t>
        </is>
      </c>
      <c r="B17" s="5" t="n">
        <v>-1540000</v>
      </c>
      <c r="C17" s="5" t="n">
        <v>-1590000</v>
      </c>
      <c r="D17" s="5" t="n">
        <v>-1660000</v>
      </c>
      <c r="E17" s="5" t="n">
        <v>-1710000</v>
      </c>
      <c r="F17" s="5">
        <f>SUM(B17:E17)</f>
        <v/>
      </c>
    </row>
    <row r="18">
      <c r="A18" s="4" t="inlineStr">
        <is>
          <t>Depreciation</t>
        </is>
      </c>
      <c r="B18" s="5" t="n">
        <v>-1960000</v>
      </c>
      <c r="C18" s="5" t="n">
        <v>-1960000</v>
      </c>
      <c r="D18" s="5" t="n">
        <v>-1960000</v>
      </c>
      <c r="E18" s="5" t="n">
        <v>-1960000</v>
      </c>
      <c r="F18" s="5">
        <f>SUM(B18:E18)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2" customWidth="1" min="4" max="4"/>
    <col width="14" customWidth="1" min="5" max="5"/>
  </cols>
  <sheetData>
    <row r="1">
      <c r="A1" s="2" t="inlineStr">
        <is>
          <t>Top 25 customers by FY2025 revenue contribution</t>
        </is>
      </c>
    </row>
    <row r="3">
      <c r="A3" s="3" t="inlineStr">
        <is>
          <t>Rank</t>
        </is>
      </c>
      <c r="B3" s="3" t="inlineStr">
        <is>
          <t>Customer</t>
        </is>
      </c>
      <c r="C3" s="3" t="inlineStr">
        <is>
          <t>FY2025 revenue</t>
        </is>
      </c>
      <c r="D3" s="3" t="inlineStr">
        <is>
          <t>% of total</t>
        </is>
      </c>
      <c r="E3" s="3" t="inlineStr">
        <is>
          <t>Tenure (yrs)</t>
        </is>
      </c>
    </row>
    <row r="4">
      <c r="A4" s="4" t="n">
        <v>1</v>
      </c>
      <c r="B4" s="4" t="inlineStr">
        <is>
          <t>Vellichor Industries</t>
        </is>
      </c>
      <c r="C4" s="5" t="n">
        <v>21753300</v>
      </c>
      <c r="D4" s="6" t="n">
        <v>0.118</v>
      </c>
      <c r="E4" s="4" t="n">
        <v>4</v>
      </c>
    </row>
    <row r="5">
      <c r="A5" s="4" t="n">
        <v>2</v>
      </c>
      <c r="B5" s="4" t="inlineStr">
        <is>
          <t>Bramble &amp; Forest Co.</t>
        </is>
      </c>
      <c r="C5" s="5" t="n">
        <v>15116700</v>
      </c>
      <c r="D5" s="6" t="n">
        <v>0.082</v>
      </c>
      <c r="E5" s="4" t="n">
        <v>7</v>
      </c>
    </row>
    <row r="6">
      <c r="A6" s="4" t="n">
        <v>3</v>
      </c>
      <c r="B6" s="4" t="inlineStr">
        <is>
          <t>PolarKraft Packaging GmbH</t>
        </is>
      </c>
      <c r="C6" s="5" t="n">
        <v>11614050</v>
      </c>
      <c r="D6" s="6" t="n">
        <v>0.063</v>
      </c>
      <c r="E6" s="4" t="n">
        <v>5</v>
      </c>
    </row>
    <row r="7">
      <c r="A7" s="4" t="n">
        <v>4</v>
      </c>
      <c r="B7" s="4" t="inlineStr">
        <is>
          <t>Sundial Foods Cooperative</t>
        </is>
      </c>
      <c r="C7" s="5" t="n">
        <v>9954900</v>
      </c>
      <c r="D7" s="6" t="n">
        <v>0.054</v>
      </c>
      <c r="E7" s="4" t="n">
        <v>4</v>
      </c>
    </row>
    <row r="8">
      <c r="A8" s="4" t="n">
        <v>5</v>
      </c>
      <c r="B8" s="4" t="inlineStr">
        <is>
          <t>Tessuto Holdings</t>
        </is>
      </c>
      <c r="C8" s="5" t="n">
        <v>8848800</v>
      </c>
      <c r="D8" s="6" t="n">
        <v>0.048</v>
      </c>
      <c r="E8" s="4" t="n">
        <v>6</v>
      </c>
    </row>
    <row r="9">
      <c r="A9" s="4" t="n">
        <v>6</v>
      </c>
      <c r="B9" s="4" t="inlineStr">
        <is>
          <t>Greenline Distributors</t>
        </is>
      </c>
      <c r="C9" s="5" t="n">
        <v>7558350</v>
      </c>
      <c r="D9" s="6" t="n">
        <v>0.041</v>
      </c>
      <c r="E9" s="4" t="n">
        <v>5</v>
      </c>
    </row>
    <row r="10">
      <c r="A10" s="4" t="n">
        <v>7</v>
      </c>
      <c r="B10" s="4" t="inlineStr">
        <is>
          <t>Cypress Container Corp</t>
        </is>
      </c>
      <c r="C10" s="5" t="n">
        <v>7005300</v>
      </c>
      <c r="D10" s="6" t="n">
        <v>0.038</v>
      </c>
      <c r="E10" s="4" t="n">
        <v>5</v>
      </c>
    </row>
    <row r="11">
      <c r="A11" s="4" t="n">
        <v>8</v>
      </c>
      <c r="B11" s="4" t="inlineStr">
        <is>
          <t>Mira Pharmaceuticals AG</t>
        </is>
      </c>
      <c r="C11" s="5" t="n">
        <v>6267900</v>
      </c>
      <c r="D11" s="6" t="n">
        <v>0.034</v>
      </c>
      <c r="E11" s="4" t="n">
        <v>6</v>
      </c>
    </row>
    <row r="12">
      <c r="A12" s="4" t="n">
        <v>9</v>
      </c>
      <c r="B12" s="4" t="inlineStr">
        <is>
          <t>Northstar Components</t>
        </is>
      </c>
      <c r="C12" s="5" t="n">
        <v>5530500</v>
      </c>
      <c r="D12" s="6" t="n">
        <v>0.03</v>
      </c>
      <c r="E12" s="4" t="n">
        <v>11</v>
      </c>
    </row>
    <row r="13">
      <c r="A13" s="4" t="n">
        <v>10</v>
      </c>
      <c r="B13" s="4" t="inlineStr">
        <is>
          <t>Westbrook &amp; Vale LLP</t>
        </is>
      </c>
      <c r="C13" s="5" t="n">
        <v>5161800</v>
      </c>
      <c r="D13" s="6" t="n">
        <v>0.028</v>
      </c>
      <c r="E13" s="4" t="n">
        <v>10</v>
      </c>
    </row>
    <row r="14">
      <c r="A14" s="4" t="n">
        <v>11</v>
      </c>
      <c r="B14" s="4" t="inlineStr">
        <is>
          <t>Eastgate Supplies</t>
        </is>
      </c>
      <c r="C14" s="5" t="n">
        <v>4608750</v>
      </c>
      <c r="D14" s="6" t="n">
        <v>0.025</v>
      </c>
      <c r="E14" s="4" t="n">
        <v>9</v>
      </c>
    </row>
    <row r="15">
      <c r="A15" s="4" t="n">
        <v>12</v>
      </c>
      <c r="B15" s="4" t="inlineStr">
        <is>
          <t>Halcyon Designs</t>
        </is>
      </c>
      <c r="C15" s="5" t="n">
        <v>4240050</v>
      </c>
      <c r="D15" s="6" t="n">
        <v>0.023</v>
      </c>
      <c r="E15" s="4" t="n">
        <v>8</v>
      </c>
    </row>
    <row r="16">
      <c r="A16" s="4" t="n">
        <v>13</v>
      </c>
      <c r="B16" s="4" t="inlineStr">
        <is>
          <t>Bromley Apparel</t>
        </is>
      </c>
      <c r="C16" s="5" t="n">
        <v>3871350</v>
      </c>
      <c r="D16" s="6" t="n">
        <v>0.021</v>
      </c>
      <c r="E16" s="4" t="n">
        <v>12</v>
      </c>
    </row>
    <row r="17">
      <c r="A17" s="4" t="n">
        <v>14</v>
      </c>
      <c r="B17" s="4" t="inlineStr">
        <is>
          <t>Sterling Components</t>
        </is>
      </c>
      <c r="C17" s="5" t="n">
        <v>3687000</v>
      </c>
      <c r="D17" s="6" t="n">
        <v>0.02</v>
      </c>
      <c r="E17" s="4" t="n">
        <v>11</v>
      </c>
    </row>
    <row r="18">
      <c r="A18" s="4" t="n">
        <v>15</v>
      </c>
      <c r="B18" s="4" t="inlineStr">
        <is>
          <t>Sycamore Foods</t>
        </is>
      </c>
      <c r="C18" s="5" t="n">
        <v>3502650</v>
      </c>
      <c r="D18" s="6" t="n">
        <v>0.019</v>
      </c>
      <c r="E18" s="4" t="n">
        <v>2</v>
      </c>
    </row>
    <row r="19">
      <c r="A19" s="4" t="n">
        <v>16</v>
      </c>
      <c r="B19" s="4" t="inlineStr">
        <is>
          <t>Maplewood Trading</t>
        </is>
      </c>
      <c r="C19" s="5" t="n">
        <v>3318300</v>
      </c>
      <c r="D19" s="6" t="n">
        <v>0.018</v>
      </c>
      <c r="E19" s="4" t="n">
        <v>4</v>
      </c>
    </row>
    <row r="20">
      <c r="A20" s="4" t="n">
        <v>17</v>
      </c>
      <c r="B20" s="4" t="inlineStr">
        <is>
          <t>Quartz Imports</t>
        </is>
      </c>
      <c r="C20" s="5" t="n">
        <v>3133950</v>
      </c>
      <c r="D20" s="6" t="n">
        <v>0.017</v>
      </c>
      <c r="E20" s="4" t="n">
        <v>12</v>
      </c>
    </row>
    <row r="21">
      <c r="A21" s="4" t="n">
        <v>18</v>
      </c>
      <c r="B21" s="4" t="inlineStr">
        <is>
          <t>Pelham Engineering</t>
        </is>
      </c>
      <c r="C21" s="5" t="n">
        <v>2949600</v>
      </c>
      <c r="D21" s="6" t="n">
        <v>0.016</v>
      </c>
      <c r="E21" s="4" t="n">
        <v>10</v>
      </c>
    </row>
    <row r="22">
      <c r="A22" s="4" t="n">
        <v>19</v>
      </c>
      <c r="B22" s="4" t="inlineStr">
        <is>
          <t>Cogswell Industries</t>
        </is>
      </c>
      <c r="C22" s="5" t="n">
        <v>2765250</v>
      </c>
      <c r="D22" s="6" t="n">
        <v>0.015</v>
      </c>
      <c r="E22" s="4" t="n">
        <v>3</v>
      </c>
    </row>
    <row r="23">
      <c r="A23" s="4" t="n">
        <v>20</v>
      </c>
      <c r="B23" s="4" t="inlineStr">
        <is>
          <t>Ravenscroft Holdings</t>
        </is>
      </c>
      <c r="C23" s="5" t="n">
        <v>2580900</v>
      </c>
      <c r="D23" s="6" t="n">
        <v>0.014</v>
      </c>
      <c r="E23" s="4" t="n">
        <v>9</v>
      </c>
    </row>
    <row r="24">
      <c r="A24" s="4" t="n">
        <v>21</v>
      </c>
      <c r="B24" s="4" t="inlineStr">
        <is>
          <t>Atlas Mercantile</t>
        </is>
      </c>
      <c r="C24" s="5" t="n">
        <v>2396550</v>
      </c>
      <c r="D24" s="6" t="n">
        <v>0.013</v>
      </c>
      <c r="E24" s="4" t="n">
        <v>7</v>
      </c>
    </row>
    <row r="25">
      <c r="A25" s="4" t="n">
        <v>22</v>
      </c>
      <c r="B25" s="4" t="inlineStr">
        <is>
          <t>Sentinel-X Systems</t>
        </is>
      </c>
      <c r="C25" s="5" t="n">
        <v>2212200</v>
      </c>
      <c r="D25" s="6" t="n">
        <v>0.012</v>
      </c>
      <c r="E25" s="4" t="n">
        <v>3</v>
      </c>
    </row>
    <row r="26">
      <c r="A26" s="4" t="n">
        <v>23</v>
      </c>
      <c r="B26" s="4" t="inlineStr">
        <is>
          <t>Aurora Bioplastics, Inc.</t>
        </is>
      </c>
      <c r="C26" s="5" t="n">
        <v>2027850</v>
      </c>
      <c r="D26" s="6" t="n">
        <v>0.011</v>
      </c>
      <c r="E26" s="4" t="n">
        <v>13</v>
      </c>
    </row>
    <row r="27">
      <c r="A27" s="4" t="n">
        <v>24</v>
      </c>
      <c r="B27" s="4" t="inlineStr">
        <is>
          <t>Hyperion Defense Group</t>
        </is>
      </c>
      <c r="C27" s="5" t="n">
        <v>1843500</v>
      </c>
      <c r="D27" s="6" t="n">
        <v>0.01</v>
      </c>
      <c r="E27" s="4" t="n">
        <v>8</v>
      </c>
    </row>
    <row r="28">
      <c r="A28" s="4" t="n">
        <v>25</v>
      </c>
      <c r="B28" s="4" t="inlineStr">
        <is>
          <t>Tidewater Marine Logistics</t>
        </is>
      </c>
      <c r="C28" s="5" t="n">
        <v>1659150</v>
      </c>
      <c r="D28" s="6" t="n">
        <v>0.008999999999999999</v>
      </c>
      <c r="E28" s="4" t="n">
        <v>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Departmental headcount and spend — FY2025</t>
        </is>
      </c>
    </row>
    <row r="3">
      <c r="A3" s="3" t="inlineStr">
        <is>
          <t>Department</t>
        </is>
      </c>
      <c r="B3" s="3" t="inlineStr">
        <is>
          <t>Headcount</t>
        </is>
      </c>
      <c r="C3" s="3" t="inlineStr">
        <is>
          <t>Total comp ($)</t>
        </is>
      </c>
      <c r="D3" s="3" t="inlineStr">
        <is>
          <t>Other opex ($)</t>
        </is>
      </c>
      <c r="E3" s="3" t="inlineStr">
        <is>
          <t>Total spend ($)</t>
        </is>
      </c>
    </row>
    <row r="4">
      <c r="A4" s="4" t="inlineStr">
        <is>
          <t>Operations / Network</t>
        </is>
      </c>
      <c r="B4" s="4" t="n">
        <v>1124</v>
      </c>
      <c r="C4" s="5" t="n">
        <v>84300000</v>
      </c>
      <c r="D4" s="5" t="n">
        <v>6120000</v>
      </c>
      <c r="E4" s="5">
        <f>C4+D4</f>
        <v/>
      </c>
    </row>
    <row r="5">
      <c r="A5" s="4" t="inlineStr">
        <is>
          <t>Customer Service</t>
        </is>
      </c>
      <c r="B5" s="4" t="n">
        <v>283</v>
      </c>
      <c r="C5" s="5" t="n">
        <v>18410000</v>
      </c>
      <c r="D5" s="5" t="n">
        <v>1840000</v>
      </c>
      <c r="E5" s="5">
        <f>C5+D5</f>
        <v/>
      </c>
    </row>
    <row r="6">
      <c r="A6" s="4" t="inlineStr">
        <is>
          <t>Sales &amp; Account Mgmt</t>
        </is>
      </c>
      <c r="B6" s="4" t="n">
        <v>142</v>
      </c>
      <c r="C6" s="5" t="n">
        <v>17750000</v>
      </c>
      <c r="D6" s="5" t="n">
        <v>2310000</v>
      </c>
      <c r="E6" s="5">
        <f>C6+D6</f>
        <v/>
      </c>
    </row>
    <row r="7">
      <c r="A7" s="4" t="inlineStr">
        <is>
          <t>Engineering &amp; Platform</t>
        </is>
      </c>
      <c r="B7" s="4" t="n">
        <v>87</v>
      </c>
      <c r="C7" s="5" t="n">
        <v>14200000</v>
      </c>
      <c r="D7" s="5" t="n">
        <v>1490000</v>
      </c>
      <c r="E7" s="5">
        <f>C7+D7</f>
        <v/>
      </c>
    </row>
    <row r="8">
      <c r="A8" s="4" t="inlineStr">
        <is>
          <t>Finance &amp; Accounting</t>
        </is>
      </c>
      <c r="B8" s="4" t="n">
        <v>62</v>
      </c>
      <c r="C8" s="5" t="n">
        <v>8540000</v>
      </c>
      <c r="D8" s="5" t="n">
        <v>920000</v>
      </c>
      <c r="E8" s="5">
        <f>C8+D8</f>
        <v/>
      </c>
    </row>
    <row r="9">
      <c r="A9" s="4" t="inlineStr">
        <is>
          <t>Legal &amp; Compliance</t>
        </is>
      </c>
      <c r="B9" s="4" t="n">
        <v>18</v>
      </c>
      <c r="C9" s="5" t="n">
        <v>4120000</v>
      </c>
      <c r="D9" s="5" t="n">
        <v>285000</v>
      </c>
      <c r="E9" s="5">
        <f>C9+D9</f>
        <v/>
      </c>
    </row>
    <row r="10">
      <c r="A10" s="4" t="inlineStr">
        <is>
          <t>Marketing &amp; Brand</t>
        </is>
      </c>
      <c r="B10" s="4" t="n">
        <v>28</v>
      </c>
      <c r="C10" s="5" t="n">
        <v>4950000</v>
      </c>
      <c r="D10" s="5" t="n">
        <v>3840000</v>
      </c>
      <c r="E10" s="5">
        <f>C10+D10</f>
        <v/>
      </c>
    </row>
    <row r="11">
      <c r="A11" s="4" t="inlineStr">
        <is>
          <t>HR &amp; People Operations</t>
        </is>
      </c>
      <c r="B11" s="4" t="n">
        <v>41</v>
      </c>
      <c r="C11" s="5" t="n">
        <v>4780000</v>
      </c>
      <c r="D11" s="5" t="n">
        <v>540000</v>
      </c>
      <c r="E11" s="5">
        <f>C11+D11</f>
        <v/>
      </c>
    </row>
    <row r="12">
      <c r="A12" s="4" t="inlineStr">
        <is>
          <t>Executive / G&amp;A</t>
        </is>
      </c>
      <c r="B12" s="4" t="n">
        <v>57</v>
      </c>
      <c r="C12" s="5" t="n">
        <v>15840000</v>
      </c>
      <c r="D12" s="5" t="n">
        <v>1180000</v>
      </c>
      <c r="E12" s="5">
        <f>C12+D12</f>
        <v/>
      </c>
    </row>
    <row r="13">
      <c r="A13" s="11" t="inlineStr">
        <is>
          <t>TOTAL</t>
        </is>
      </c>
      <c r="B13" s="12">
        <f>SUM(B4:B12)</f>
        <v/>
      </c>
      <c r="C13" s="10">
        <f>SUM(C4:C12)</f>
        <v/>
      </c>
      <c r="D13" s="10">
        <f>SUM(D4:D12)</f>
        <v/>
      </c>
      <c r="E13" s="10">
        <f>SUM(E4:E12)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</cols>
  <sheetData>
    <row r="1">
      <c r="A1" s="13" t="inlineStr">
        <is>
          <t>Fact</t>
        </is>
      </c>
      <c r="B1" s="13" t="inlineStr">
        <is>
          <t>Value</t>
        </is>
      </c>
    </row>
    <row r="2">
      <c r="A2" t="inlineStr">
        <is>
          <t>Total revenue FY2025</t>
        </is>
      </c>
      <c r="B2" t="inlineStr">
        <is>
          <t>$184,350,000.00</t>
        </is>
      </c>
    </row>
    <row r="3">
      <c r="A3" t="inlineStr">
        <is>
          <t>Net income FY2025</t>
        </is>
      </c>
      <c r="B3" t="inlineStr">
        <is>
          <t>$15,847,500.00</t>
        </is>
      </c>
    </row>
    <row r="4">
      <c r="A4" t="inlineStr">
        <is>
          <t>Operating margin FY2025</t>
        </is>
      </c>
      <c r="B4" t="inlineStr">
        <is>
          <t>11.56%</t>
        </is>
      </c>
    </row>
    <row r="5">
      <c r="A5" t="inlineStr">
        <is>
          <t>Total employees year-end</t>
        </is>
      </c>
      <c r="B5" t="inlineStr">
        <is>
          <t>1,842</t>
        </is>
      </c>
    </row>
    <row r="6">
      <c r="A6" t="inlineStr">
        <is>
          <t>Largest customer (rank 1)</t>
        </is>
      </c>
      <c r="B6" t="inlineStr">
        <is>
          <t>Vellichor Industries — 11.8% of revenue</t>
        </is>
      </c>
    </row>
    <row r="7">
      <c r="A7" t="inlineStr">
        <is>
          <t>Total customer concentration top-5</t>
        </is>
      </c>
      <c r="B7" t="inlineStr">
        <is>
          <t>36.5%</t>
        </is>
      </c>
    </row>
    <row r="8">
      <c r="A8" t="inlineStr">
        <is>
          <t>Largest department by headcount</t>
        </is>
      </c>
      <c r="B8" t="inlineStr">
        <is>
          <t>Operations / Network — 1,124 employees</t>
        </is>
      </c>
    </row>
    <row r="9">
      <c r="A9" t="inlineStr">
        <is>
          <t>Highest-spend department</t>
        </is>
      </c>
      <c r="B9" t="inlineStr">
        <is>
          <t>Operations / Network — $90.42M total spend</t>
        </is>
      </c>
    </row>
    <row r="10">
      <c r="A10" t="inlineStr">
        <is>
          <t>Quarter with highest revenue</t>
        </is>
      </c>
      <c r="B10" t="inlineStr">
        <is>
          <t>Q4 2025</t>
        </is>
      </c>
    </row>
    <row r="11">
      <c r="A11" t="inlineStr">
        <is>
          <t>Quarter with lowest revenue</t>
        </is>
      </c>
      <c r="B11" t="inlineStr">
        <is>
          <t>Q1 2025</t>
        </is>
      </c>
    </row>
    <row r="12">
      <c r="A12" t="inlineStr">
        <is>
          <t>Annual fuel cost</t>
        </is>
      </c>
      <c r="B12" t="inlineStr">
        <is>
          <t>$42,850,000 (sum of quarterly)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2026-05-23T20:30:02Z</dcterms:created>
  <dcterms:modified xmlns:dcterms="http://purl.org/dc/terms/" xmlns:xsi="http://www.w3.org/2001/XMLSchema-instance" xsi:type="dcterms:W3CDTF">2026-05-23T20:30:02Z</dcterms:modified>
</cp:coreProperties>
</file>