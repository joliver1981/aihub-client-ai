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GS Detail" sheetId="2" state="visible" r:id="rId2"/>
    <sheet xmlns:r="http://schemas.openxmlformats.org/officeDocument/2006/relationships" name="Production by Plant" sheetId="3" state="visible" r:id="rId3"/>
    <sheet xmlns:r="http://schemas.openxmlformats.org/officeDocument/2006/relationships" name="Inventory Snapshot" sheetId="4" state="visible" r:id="rId4"/>
    <sheet xmlns:r="http://schemas.openxmlformats.org/officeDocument/2006/relationships" name="Anch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#,##0.0"/>
  </numFmts>
  <fonts count="5">
    <font>
      <name val="Calibri"/>
      <family val="2"/>
      <color theme="1"/>
      <sz val="11"/>
      <scheme val="minor"/>
    </font>
    <font>
      <b val="1"/>
      <color rgb="002E4F8A"/>
      <sz val="18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E4F8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3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PACIFIC MANUFACTURING LLC — Annual Financial Report FY2025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revenue (FY2025)</t>
        </is>
      </c>
      <c r="B4" s="4" t="n">
        <v>248700000</v>
      </c>
    </row>
    <row r="5">
      <c r="A5" s="3" t="inlineStr">
        <is>
          <t>Cost of goods sold</t>
        </is>
      </c>
      <c r="B5" s="4" t="n">
        <v>-181590000</v>
      </c>
    </row>
    <row r="6">
      <c r="A6" s="3" t="inlineStr">
        <is>
          <t>Gross profit</t>
        </is>
      </c>
      <c r="B6" s="4" t="n">
        <v>67110000</v>
      </c>
    </row>
    <row r="7">
      <c r="A7" s="3" t="inlineStr">
        <is>
          <t>Gross margin</t>
        </is>
      </c>
      <c r="B7" s="5" t="n">
        <v>0.2697</v>
      </c>
    </row>
    <row r="8">
      <c r="A8" s="3" t="inlineStr">
        <is>
          <t>SG&amp;A</t>
        </is>
      </c>
      <c r="B8" s="4" t="n">
        <v>-31840000</v>
      </c>
    </row>
    <row r="9">
      <c r="A9" s="3" t="inlineStr">
        <is>
          <t>R&amp;D</t>
        </is>
      </c>
      <c r="B9" s="4" t="n">
        <v>-12440000</v>
      </c>
    </row>
    <row r="10">
      <c r="A10" s="3" t="inlineStr">
        <is>
          <t>Operating income</t>
        </is>
      </c>
      <c r="B10" s="4" t="n">
        <v>22830000</v>
      </c>
    </row>
    <row r="11">
      <c r="A11" s="3" t="inlineStr">
        <is>
          <t>EBITDA</t>
        </is>
      </c>
      <c r="B11" s="4" t="n">
        <v>34180000</v>
      </c>
    </row>
    <row r="12">
      <c r="A12" s="3" t="inlineStr">
        <is>
          <t>Total units produced (millions)</t>
        </is>
      </c>
      <c r="B12" s="6" t="n">
        <v>18.4</v>
      </c>
    </row>
    <row r="13">
      <c r="A13" s="3" t="inlineStr">
        <is>
          <t>Total facilities</t>
        </is>
      </c>
      <c r="B13" s="7" t="n">
        <v>7</v>
      </c>
    </row>
    <row r="14">
      <c r="A14" s="3" t="inlineStr">
        <is>
          <t>Total production employees</t>
        </is>
      </c>
      <c r="B14" s="7" t="n">
        <v>1482</v>
      </c>
    </row>
    <row r="15">
      <c r="A15" s="3" t="inlineStr">
        <is>
          <t>Inventory turns (FY2025)</t>
        </is>
      </c>
      <c r="B15" s="6" t="n">
        <v>6.8</v>
      </c>
    </row>
    <row r="16">
      <c r="A16" s="3" t="inlineStr">
        <is>
          <t>Largest plant (Tacoma) % of output</t>
        </is>
      </c>
      <c r="B16" s="5" t="n">
        <v>0.282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8" t="inlineStr">
        <is>
          <t>Cost of goods sold — components, FY2025</t>
        </is>
      </c>
    </row>
    <row r="3">
      <c r="A3" s="2" t="inlineStr">
        <is>
          <t>Component</t>
        </is>
      </c>
      <c r="B3" s="2" t="inlineStr">
        <is>
          <t>Q1 2025</t>
        </is>
      </c>
      <c r="C3" s="2" t="inlineStr">
        <is>
          <t>Q2 2025</t>
        </is>
      </c>
      <c r="D3" s="2" t="inlineStr">
        <is>
          <t>Q3 2025</t>
        </is>
      </c>
      <c r="E3" s="2" t="inlineStr">
        <is>
          <t>Q4 2025</t>
        </is>
      </c>
      <c r="F3" s="2" t="inlineStr">
        <is>
          <t>FY2025</t>
        </is>
      </c>
    </row>
    <row r="4">
      <c r="A4" s="3" t="inlineStr">
        <is>
          <t>Raw materials (steel)</t>
        </is>
      </c>
      <c r="B4" s="4" t="n">
        <v>21400000</v>
      </c>
      <c r="C4" s="4" t="n">
        <v>21780000</v>
      </c>
      <c r="D4" s="4" t="n">
        <v>22120000</v>
      </c>
      <c r="E4" s="4" t="n">
        <v>22580000</v>
      </c>
      <c r="F4" s="4">
        <f>SUM(B4:E4)</f>
        <v/>
      </c>
    </row>
    <row r="5">
      <c r="A5" s="3" t="inlineStr">
        <is>
          <t>Raw materials (polymer)</t>
        </is>
      </c>
      <c r="B5" s="4" t="n">
        <v>8240000</v>
      </c>
      <c r="C5" s="4" t="n">
        <v>8410000</v>
      </c>
      <c r="D5" s="4" t="n">
        <v>8620000</v>
      </c>
      <c r="E5" s="4" t="n">
        <v>8840000</v>
      </c>
      <c r="F5" s="4">
        <f>SUM(B5:E5)</f>
        <v/>
      </c>
    </row>
    <row r="6">
      <c r="A6" s="3" t="inlineStr">
        <is>
          <t>Direct labor</t>
        </is>
      </c>
      <c r="B6" s="4" t="n">
        <v>14200000</v>
      </c>
      <c r="C6" s="4" t="n">
        <v>14350000</v>
      </c>
      <c r="D6" s="4" t="n">
        <v>14580000</v>
      </c>
      <c r="E6" s="4" t="n">
        <v>14910000</v>
      </c>
      <c r="F6" s="4">
        <f>SUM(B6:E6)</f>
        <v/>
      </c>
    </row>
    <row r="7">
      <c r="A7" s="3" t="inlineStr">
        <is>
          <t>Plant utilities</t>
        </is>
      </c>
      <c r="B7" s="4" t="n">
        <v>2840000</v>
      </c>
      <c r="C7" s="4" t="n">
        <v>2920000</v>
      </c>
      <c r="D7" s="4" t="n">
        <v>3010000</v>
      </c>
      <c r="E7" s="4" t="n">
        <v>3080000</v>
      </c>
      <c r="F7" s="4">
        <f>SUM(B7:E7)</f>
        <v/>
      </c>
    </row>
    <row r="8">
      <c r="A8" s="3" t="inlineStr">
        <is>
          <t>Subcontracted machining</t>
        </is>
      </c>
      <c r="B8" s="4" t="n">
        <v>3220000</v>
      </c>
      <c r="C8" s="4" t="n">
        <v>3330000</v>
      </c>
      <c r="D8" s="4" t="n">
        <v>3440000</v>
      </c>
      <c r="E8" s="4" t="n">
        <v>3560000</v>
      </c>
      <c r="F8" s="4">
        <f>SUM(B8:E8)</f>
        <v/>
      </c>
    </row>
    <row r="9">
      <c r="A9" s="3" t="inlineStr">
        <is>
          <t>Freight inbound</t>
        </is>
      </c>
      <c r="B9" s="4" t="n">
        <v>1120000</v>
      </c>
      <c r="C9" s="4" t="n">
        <v>1180000</v>
      </c>
      <c r="D9" s="4" t="n">
        <v>1220000</v>
      </c>
      <c r="E9" s="4" t="n">
        <v>1260000</v>
      </c>
      <c r="F9" s="4">
        <f>SUM(B9:E9)</f>
        <v/>
      </c>
    </row>
    <row r="10">
      <c r="A10" s="3" t="inlineStr">
        <is>
          <t>Quality / scrap</t>
        </is>
      </c>
      <c r="B10" s="4" t="n">
        <v>1840000</v>
      </c>
      <c r="C10" s="4" t="n">
        <v>1920000</v>
      </c>
      <c r="D10" s="4" t="n">
        <v>2010000</v>
      </c>
      <c r="E10" s="4" t="n">
        <v>2080000</v>
      </c>
      <c r="F10" s="4">
        <f>SUM(B10:E10)</f>
        <v/>
      </c>
    </row>
    <row r="11">
      <c r="A11" s="3" t="inlineStr">
        <is>
          <t>Indirect manufacturing</t>
        </is>
      </c>
      <c r="B11" s="4" t="n">
        <v>4280000</v>
      </c>
      <c r="C11" s="4" t="n">
        <v>4410000</v>
      </c>
      <c r="D11" s="4" t="n">
        <v>4540000</v>
      </c>
      <c r="E11" s="4" t="n">
        <v>4680000</v>
      </c>
      <c r="F11" s="4">
        <f>SUM(B11:E11)</f>
        <v/>
      </c>
    </row>
    <row r="12">
      <c r="A12" s="9" t="inlineStr">
        <is>
          <t>TOTAL COGS</t>
        </is>
      </c>
      <c r="B12" s="10">
        <f>SUM(B4:B11)</f>
        <v/>
      </c>
      <c r="C12" s="10">
        <f>SUM(C4:C11)</f>
        <v/>
      </c>
      <c r="D12" s="10">
        <f>SUM(D4:D11)</f>
        <v/>
      </c>
      <c r="E12" s="10">
        <f>SUM(E4:E11)</f>
        <v/>
      </c>
      <c r="F12" s="10">
        <f>SUM(F4:F11)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8" customWidth="1" min="4" max="4"/>
    <col width="12" customWidth="1" min="5" max="5"/>
    <col width="14" customWidth="1" min="6" max="6"/>
    <col width="24" customWidth="1" min="7" max="7"/>
  </cols>
  <sheetData>
    <row r="1">
      <c r="A1" s="8" t="inlineStr">
        <is>
          <t>Plant production output and efficiency FY2025</t>
        </is>
      </c>
    </row>
    <row r="3">
      <c r="A3" s="2" t="inlineStr">
        <is>
          <t>Plant</t>
        </is>
      </c>
      <c r="B3" s="2" t="inlineStr">
        <is>
          <t>City</t>
        </is>
      </c>
      <c r="C3" s="2" t="inlineStr">
        <is>
          <t>Units produced (M)</t>
        </is>
      </c>
      <c r="D3" s="2" t="inlineStr">
        <is>
          <t>Yield %</t>
        </is>
      </c>
      <c r="E3" s="2" t="inlineStr">
        <is>
          <t>Headcount</t>
        </is>
      </c>
      <c r="F3" s="2" t="inlineStr">
        <is>
          <t>Output / FTE</t>
        </is>
      </c>
      <c r="G3" s="2" t="inlineStr">
        <is>
          <t>Energy intensity (kWh/unit)</t>
        </is>
      </c>
    </row>
    <row r="4">
      <c r="A4" s="3" t="inlineStr">
        <is>
          <t>Tacoma WA</t>
        </is>
      </c>
      <c r="B4" s="3" t="inlineStr">
        <is>
          <t>Tacoma</t>
        </is>
      </c>
      <c r="C4" s="11" t="n">
        <v>5.19</v>
      </c>
      <c r="D4" s="5" t="n">
        <v>0.964</v>
      </c>
      <c r="E4" s="3" t="n">
        <v>412</v>
      </c>
      <c r="F4" s="7">
        <f>(C4*1000000)/E4</f>
        <v/>
      </c>
      <c r="G4" s="12" t="n">
        <v>0.42</v>
      </c>
    </row>
    <row r="5">
      <c r="A5" s="3" t="inlineStr">
        <is>
          <t>Fresno CA</t>
        </is>
      </c>
      <c r="B5" s="3" t="inlineStr">
        <is>
          <t>Fresno</t>
        </is>
      </c>
      <c r="C5" s="11" t="n">
        <v>3.42</v>
      </c>
      <c r="D5" s="5" t="n">
        <v>0.951</v>
      </c>
      <c r="E5" s="3" t="n">
        <v>318</v>
      </c>
      <c r="F5" s="7">
        <f>(C5*1000000)/E5</f>
        <v/>
      </c>
      <c r="G5" s="12" t="n">
        <v>0.38</v>
      </c>
    </row>
    <row r="6">
      <c r="A6" s="3" t="inlineStr">
        <is>
          <t>Phoenix AZ</t>
        </is>
      </c>
      <c r="B6" s="3" t="inlineStr">
        <is>
          <t>Phoenix</t>
        </is>
      </c>
      <c r="C6" s="11" t="n">
        <v>2.78</v>
      </c>
      <c r="D6" s="5" t="n">
        <v>0.948</v>
      </c>
      <c r="E6" s="3" t="n">
        <v>248</v>
      </c>
      <c r="F6" s="7">
        <f>(C6*1000000)/E6</f>
        <v/>
      </c>
      <c r="G6" s="12" t="n">
        <v>0.36</v>
      </c>
    </row>
    <row r="7">
      <c r="A7" s="3" t="inlineStr">
        <is>
          <t>Wichita KS</t>
        </is>
      </c>
      <c r="B7" s="3" t="inlineStr">
        <is>
          <t>Wichita</t>
        </is>
      </c>
      <c r="C7" s="11" t="n">
        <v>2.21</v>
      </c>
      <c r="D7" s="5" t="n">
        <v>0.957</v>
      </c>
      <c r="E7" s="3" t="n">
        <v>192</v>
      </c>
      <c r="F7" s="7">
        <f>(C7*1000000)/E7</f>
        <v/>
      </c>
      <c r="G7" s="12" t="n">
        <v>0.45</v>
      </c>
    </row>
    <row r="8">
      <c r="A8" s="3" t="inlineStr">
        <is>
          <t>Toledo OH</t>
        </is>
      </c>
      <c r="B8" s="3" t="inlineStr">
        <is>
          <t>Toledo</t>
        </is>
      </c>
      <c r="C8" s="11" t="n">
        <v>1.84</v>
      </c>
      <c r="D8" s="5" t="n">
        <v>0.962</v>
      </c>
      <c r="E8" s="3" t="n">
        <v>158</v>
      </c>
      <c r="F8" s="7">
        <f>(C8*1000000)/E8</f>
        <v/>
      </c>
      <c r="G8" s="12" t="n">
        <v>0.41</v>
      </c>
    </row>
    <row r="9">
      <c r="A9" s="3" t="inlineStr">
        <is>
          <t>Chattanooga TN</t>
        </is>
      </c>
      <c r="B9" s="3" t="inlineStr">
        <is>
          <t>Chattanooga</t>
        </is>
      </c>
      <c r="C9" s="11" t="n">
        <v>1.62</v>
      </c>
      <c r="D9" s="5" t="n">
        <v>0.949</v>
      </c>
      <c r="E9" s="3" t="n">
        <v>102</v>
      </c>
      <c r="F9" s="7">
        <f>(C9*1000000)/E9</f>
        <v/>
      </c>
      <c r="G9" s="12" t="n">
        <v>0.39</v>
      </c>
    </row>
    <row r="10">
      <c r="A10" s="3" t="inlineStr">
        <is>
          <t>Greenville SC</t>
        </is>
      </c>
      <c r="B10" s="3" t="inlineStr">
        <is>
          <t>Greenville</t>
        </is>
      </c>
      <c r="C10" s="11" t="n">
        <v>1.34</v>
      </c>
      <c r="D10" s="5" t="n">
        <v>0.953</v>
      </c>
      <c r="E10" s="3" t="n">
        <v>52</v>
      </c>
      <c r="F10" s="7">
        <f>(C10*1000000)/E10</f>
        <v/>
      </c>
      <c r="G10" s="12" t="n">
        <v>0.37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>
      <c r="A1" s="8" t="inlineStr">
        <is>
          <t>Inventory levels by SKU (snapshot at Dec 31, 2025)</t>
        </is>
      </c>
    </row>
    <row r="3">
      <c r="A3" s="2" t="inlineStr">
        <is>
          <t>SKU</t>
        </is>
      </c>
      <c r="B3" s="2" t="inlineStr">
        <is>
          <t>Category</t>
        </is>
      </c>
      <c r="C3" s="2" t="inlineStr">
        <is>
          <t>Unit cost ($)</t>
        </is>
      </c>
      <c r="D3" s="2" t="inlineStr">
        <is>
          <t>Units on hand</t>
        </is>
      </c>
      <c r="E3" s="2" t="inlineStr">
        <is>
          <t>Inventory value ($)</t>
        </is>
      </c>
      <c r="F3" s="2" t="inlineStr">
        <is>
          <t>Days of supply</t>
        </is>
      </c>
    </row>
    <row r="4">
      <c r="A4" s="3" t="inlineStr">
        <is>
          <t>PM-01000</t>
        </is>
      </c>
      <c r="B4" s="3" t="inlineStr">
        <is>
          <t>Maintenance items</t>
        </is>
      </c>
      <c r="C4" s="4" t="n">
        <v>717.36</v>
      </c>
      <c r="D4" s="7" t="n">
        <v>2626</v>
      </c>
      <c r="E4" s="4">
        <f>C4*D4</f>
        <v/>
      </c>
      <c r="F4" s="3" t="n">
        <v>92</v>
      </c>
    </row>
    <row r="5">
      <c r="A5" s="3" t="inlineStr">
        <is>
          <t>PM-01003</t>
        </is>
      </c>
      <c r="B5" s="3" t="inlineStr">
        <is>
          <t>Fabricated parts</t>
        </is>
      </c>
      <c r="C5" s="4" t="n">
        <v>398.34</v>
      </c>
      <c r="D5" s="7" t="n">
        <v>5307</v>
      </c>
      <c r="E5" s="4">
        <f>C5*D5</f>
        <v/>
      </c>
      <c r="F5" s="3" t="n">
        <v>52</v>
      </c>
    </row>
    <row r="6">
      <c r="A6" s="3" t="inlineStr">
        <is>
          <t>PM-01006</t>
        </is>
      </c>
      <c r="B6" s="3" t="inlineStr">
        <is>
          <t>Castings</t>
        </is>
      </c>
      <c r="C6" s="4" t="n">
        <v>844.08</v>
      </c>
      <c r="D6" s="7" t="n">
        <v>13279</v>
      </c>
      <c r="E6" s="4">
        <f>C6*D6</f>
        <v/>
      </c>
      <c r="F6" s="3" t="n">
        <v>63</v>
      </c>
    </row>
    <row r="7">
      <c r="A7" s="3" t="inlineStr">
        <is>
          <t>PM-01009</t>
        </is>
      </c>
      <c r="B7" s="3" t="inlineStr">
        <is>
          <t>Fabricated parts</t>
        </is>
      </c>
      <c r="C7" s="4" t="n">
        <v>41.26</v>
      </c>
      <c r="D7" s="7" t="n">
        <v>3743</v>
      </c>
      <c r="E7" s="4">
        <f>C7*D7</f>
        <v/>
      </c>
      <c r="F7" s="3" t="n">
        <v>69</v>
      </c>
    </row>
    <row r="8">
      <c r="A8" s="3" t="inlineStr">
        <is>
          <t>PM-01012</t>
        </is>
      </c>
      <c r="B8" s="3" t="inlineStr">
        <is>
          <t>Fasteners</t>
        </is>
      </c>
      <c r="C8" s="4" t="n">
        <v>504.74</v>
      </c>
      <c r="D8" s="7" t="n">
        <v>1321</v>
      </c>
      <c r="E8" s="4">
        <f>C8*D8</f>
        <v/>
      </c>
      <c r="F8" s="3" t="n">
        <v>62</v>
      </c>
    </row>
    <row r="9">
      <c r="A9" s="3" t="inlineStr">
        <is>
          <t>PM-01015</t>
        </is>
      </c>
      <c r="B9" s="3" t="inlineStr">
        <is>
          <t>Subassemblies</t>
        </is>
      </c>
      <c r="C9" s="4" t="n">
        <v>119.37</v>
      </c>
      <c r="D9" s="7" t="n">
        <v>12665</v>
      </c>
      <c r="E9" s="4">
        <f>C9*D9</f>
        <v/>
      </c>
      <c r="F9" s="3" t="n">
        <v>88</v>
      </c>
    </row>
    <row r="10">
      <c r="A10" s="3" t="inlineStr">
        <is>
          <t>PM-01018</t>
        </is>
      </c>
      <c r="B10" s="3" t="inlineStr">
        <is>
          <t>Fasteners</t>
        </is>
      </c>
      <c r="C10" s="4" t="n">
        <v>431.72</v>
      </c>
      <c r="D10" s="7" t="n">
        <v>1231</v>
      </c>
      <c r="E10" s="4">
        <f>C10*D10</f>
        <v/>
      </c>
      <c r="F10" s="3" t="n">
        <v>55</v>
      </c>
    </row>
    <row r="11">
      <c r="A11" s="3" t="inlineStr">
        <is>
          <t>PM-01021</t>
        </is>
      </c>
      <c r="B11" s="3" t="inlineStr">
        <is>
          <t>Subassemblies</t>
        </is>
      </c>
      <c r="C11" s="4" t="n">
        <v>739.99</v>
      </c>
      <c r="D11" s="7" t="n">
        <v>7431</v>
      </c>
      <c r="E11" s="4">
        <f>C11*D11</f>
        <v/>
      </c>
      <c r="F11" s="3" t="n">
        <v>8</v>
      </c>
    </row>
    <row r="12">
      <c r="A12" s="3" t="inlineStr">
        <is>
          <t>PM-01024</t>
        </is>
      </c>
      <c r="B12" s="3" t="inlineStr">
        <is>
          <t>Maintenance items</t>
        </is>
      </c>
      <c r="C12" s="4" t="n">
        <v>713.3</v>
      </c>
      <c r="D12" s="7" t="n">
        <v>3627</v>
      </c>
      <c r="E12" s="4">
        <f>C12*D12</f>
        <v/>
      </c>
      <c r="F12" s="3" t="n">
        <v>20</v>
      </c>
    </row>
    <row r="13">
      <c r="A13" s="3" t="inlineStr">
        <is>
          <t>PM-01027</t>
        </is>
      </c>
      <c r="B13" s="3" t="inlineStr">
        <is>
          <t>Bearings</t>
        </is>
      </c>
      <c r="C13" s="4" t="n">
        <v>302.84</v>
      </c>
      <c r="D13" s="7" t="n">
        <v>10820</v>
      </c>
      <c r="E13" s="4">
        <f>C13*D13</f>
        <v/>
      </c>
      <c r="F13" s="3" t="n">
        <v>14</v>
      </c>
    </row>
    <row r="14">
      <c r="A14" s="3" t="inlineStr">
        <is>
          <t>PM-01030</t>
        </is>
      </c>
      <c r="B14" s="3" t="inlineStr">
        <is>
          <t>Tools</t>
        </is>
      </c>
      <c r="C14" s="4" t="n">
        <v>694.65</v>
      </c>
      <c r="D14" s="7" t="n">
        <v>4961</v>
      </c>
      <c r="E14" s="4">
        <f>C14*D14</f>
        <v/>
      </c>
      <c r="F14" s="3" t="n">
        <v>62</v>
      </c>
    </row>
    <row r="15">
      <c r="A15" s="3" t="inlineStr">
        <is>
          <t>PM-01033</t>
        </is>
      </c>
      <c r="B15" s="3" t="inlineStr">
        <is>
          <t>Fasteners</t>
        </is>
      </c>
      <c r="C15" s="4" t="n">
        <v>332.25</v>
      </c>
      <c r="D15" s="7" t="n">
        <v>8700</v>
      </c>
      <c r="E15" s="4">
        <f>C15*D15</f>
        <v/>
      </c>
      <c r="F15" s="3" t="n">
        <v>66</v>
      </c>
    </row>
    <row r="16">
      <c r="A16" s="3" t="inlineStr">
        <is>
          <t>PM-01036</t>
        </is>
      </c>
      <c r="B16" s="3" t="inlineStr">
        <is>
          <t>Subassemblies</t>
        </is>
      </c>
      <c r="C16" s="4" t="n">
        <v>297.63</v>
      </c>
      <c r="D16" s="7" t="n">
        <v>7533</v>
      </c>
      <c r="E16" s="4">
        <f>C16*D16</f>
        <v/>
      </c>
      <c r="F16" s="3" t="n">
        <v>84</v>
      </c>
    </row>
    <row r="17">
      <c r="A17" s="3" t="inlineStr">
        <is>
          <t>PM-01039</t>
        </is>
      </c>
      <c r="B17" s="3" t="inlineStr">
        <is>
          <t>Bearings</t>
        </is>
      </c>
      <c r="C17" s="4" t="n">
        <v>248.88</v>
      </c>
      <c r="D17" s="7" t="n">
        <v>1301</v>
      </c>
      <c r="E17" s="4">
        <f>C17*D17</f>
        <v/>
      </c>
      <c r="F17" s="3" t="n">
        <v>58</v>
      </c>
    </row>
    <row r="18">
      <c r="A18" s="3" t="inlineStr">
        <is>
          <t>PM-01042</t>
        </is>
      </c>
      <c r="B18" s="3" t="inlineStr">
        <is>
          <t>Maintenance items</t>
        </is>
      </c>
      <c r="C18" s="4" t="n">
        <v>624.74</v>
      </c>
      <c r="D18" s="7" t="n">
        <v>10505</v>
      </c>
      <c r="E18" s="4">
        <f>C18*D18</f>
        <v/>
      </c>
      <c r="F18" s="3" t="n">
        <v>70</v>
      </c>
    </row>
    <row r="19">
      <c r="A19" s="3" t="inlineStr">
        <is>
          <t>PM-01045</t>
        </is>
      </c>
      <c r="B19" s="3" t="inlineStr">
        <is>
          <t>Tools</t>
        </is>
      </c>
      <c r="C19" s="4" t="n">
        <v>230.05</v>
      </c>
      <c r="D19" s="7" t="n">
        <v>12040</v>
      </c>
      <c r="E19" s="4">
        <f>C19*D19</f>
        <v/>
      </c>
      <c r="F19" s="3" t="n">
        <v>60</v>
      </c>
    </row>
    <row r="20">
      <c r="A20" s="3" t="inlineStr">
        <is>
          <t>PM-01048</t>
        </is>
      </c>
      <c r="B20" s="3" t="inlineStr">
        <is>
          <t>Fasteners</t>
        </is>
      </c>
      <c r="C20" s="4" t="n">
        <v>633.39</v>
      </c>
      <c r="D20" s="7" t="n">
        <v>8996</v>
      </c>
      <c r="E20" s="4">
        <f>C20*D20</f>
        <v/>
      </c>
      <c r="F20" s="3" t="n">
        <v>47</v>
      </c>
    </row>
    <row r="21">
      <c r="A21" s="3" t="inlineStr">
        <is>
          <t>PM-01051</t>
        </is>
      </c>
      <c r="B21" s="3" t="inlineStr">
        <is>
          <t>Tools</t>
        </is>
      </c>
      <c r="C21" s="4" t="n">
        <v>35.38</v>
      </c>
      <c r="D21" s="7" t="n">
        <v>1946</v>
      </c>
      <c r="E21" s="4">
        <f>C21*D21</f>
        <v/>
      </c>
      <c r="F21" s="3" t="n">
        <v>14</v>
      </c>
    </row>
    <row r="22">
      <c r="A22" s="3" t="inlineStr">
        <is>
          <t>PM-01054</t>
        </is>
      </c>
      <c r="B22" s="3" t="inlineStr">
        <is>
          <t>Subassemblies</t>
        </is>
      </c>
      <c r="C22" s="4" t="n">
        <v>653.6900000000001</v>
      </c>
      <c r="D22" s="7" t="n">
        <v>10706</v>
      </c>
      <c r="E22" s="4">
        <f>C22*D22</f>
        <v/>
      </c>
      <c r="F22" s="3" t="n">
        <v>54</v>
      </c>
    </row>
    <row r="23">
      <c r="A23" s="3" t="inlineStr">
        <is>
          <t>PM-01057</t>
        </is>
      </c>
      <c r="B23" s="3" t="inlineStr">
        <is>
          <t>Castings</t>
        </is>
      </c>
      <c r="C23" s="4" t="n">
        <v>792.9400000000001</v>
      </c>
      <c r="D23" s="7" t="n">
        <v>8760</v>
      </c>
      <c r="E23" s="4">
        <f>C23*D23</f>
        <v/>
      </c>
      <c r="F23" s="3" t="n">
        <v>21</v>
      </c>
    </row>
    <row r="24">
      <c r="A24" s="3" t="inlineStr">
        <is>
          <t>PM-01060</t>
        </is>
      </c>
      <c r="B24" s="3" t="inlineStr">
        <is>
          <t>Tools</t>
        </is>
      </c>
      <c r="C24" s="4" t="n">
        <v>566.39</v>
      </c>
      <c r="D24" s="7" t="n">
        <v>14074</v>
      </c>
      <c r="E24" s="4">
        <f>C24*D24</f>
        <v/>
      </c>
      <c r="F24" s="3" t="n">
        <v>63</v>
      </c>
    </row>
    <row r="25">
      <c r="A25" s="3" t="inlineStr">
        <is>
          <t>PM-01063</t>
        </is>
      </c>
      <c r="B25" s="3" t="inlineStr">
        <is>
          <t>Tools</t>
        </is>
      </c>
      <c r="C25" s="4" t="n">
        <v>609.5599999999999</v>
      </c>
      <c r="D25" s="7" t="n">
        <v>2401</v>
      </c>
      <c r="E25" s="4">
        <f>C25*D25</f>
        <v/>
      </c>
      <c r="F25" s="3" t="n">
        <v>52</v>
      </c>
    </row>
    <row r="26">
      <c r="A26" s="3" t="inlineStr">
        <is>
          <t>PM-01066</t>
        </is>
      </c>
      <c r="B26" s="3" t="inlineStr">
        <is>
          <t>Subassemblies</t>
        </is>
      </c>
      <c r="C26" s="4" t="n">
        <v>305.54</v>
      </c>
      <c r="D26" s="7" t="n">
        <v>3120</v>
      </c>
      <c r="E26" s="4">
        <f>C26*D26</f>
        <v/>
      </c>
      <c r="F26" s="3" t="n">
        <v>53</v>
      </c>
    </row>
    <row r="27">
      <c r="A27" s="3" t="inlineStr">
        <is>
          <t>PM-01069</t>
        </is>
      </c>
      <c r="B27" s="3" t="inlineStr">
        <is>
          <t>Castings</t>
        </is>
      </c>
      <c r="C27" s="4" t="n">
        <v>127.42</v>
      </c>
      <c r="D27" s="7" t="n">
        <v>16907</v>
      </c>
      <c r="E27" s="4">
        <f>C27*D27</f>
        <v/>
      </c>
      <c r="F27" s="3" t="n">
        <v>67</v>
      </c>
    </row>
    <row r="28">
      <c r="A28" s="3" t="inlineStr">
        <is>
          <t>PM-01072</t>
        </is>
      </c>
      <c r="B28" s="3" t="inlineStr">
        <is>
          <t>Bearings</t>
        </is>
      </c>
      <c r="C28" s="4" t="n">
        <v>342.78</v>
      </c>
      <c r="D28" s="7" t="n">
        <v>10918</v>
      </c>
      <c r="E28" s="4">
        <f>C28*D28</f>
        <v/>
      </c>
      <c r="F28" s="3" t="n">
        <v>78</v>
      </c>
    </row>
    <row r="29">
      <c r="A29" s="3" t="inlineStr">
        <is>
          <t>PM-01075</t>
        </is>
      </c>
      <c r="B29" s="3" t="inlineStr">
        <is>
          <t>Bearings</t>
        </is>
      </c>
      <c r="C29" s="4" t="n">
        <v>56.58</v>
      </c>
      <c r="D29" s="7" t="n">
        <v>11805</v>
      </c>
      <c r="E29" s="4">
        <f>C29*D29</f>
        <v/>
      </c>
      <c r="F29" s="3" t="n">
        <v>84</v>
      </c>
    </row>
    <row r="30">
      <c r="A30" s="3" t="inlineStr">
        <is>
          <t>PM-01078</t>
        </is>
      </c>
      <c r="B30" s="3" t="inlineStr">
        <is>
          <t>Fabricated parts</t>
        </is>
      </c>
      <c r="C30" s="4" t="n">
        <v>27.72</v>
      </c>
      <c r="D30" s="7" t="n">
        <v>4406</v>
      </c>
      <c r="E30" s="4">
        <f>C30*D30</f>
        <v/>
      </c>
      <c r="F30" s="3" t="n">
        <v>81</v>
      </c>
    </row>
    <row r="31">
      <c r="A31" s="3" t="inlineStr">
        <is>
          <t>PM-01081</t>
        </is>
      </c>
      <c r="B31" s="3" t="inlineStr">
        <is>
          <t>Fasteners</t>
        </is>
      </c>
      <c r="C31" s="4" t="n">
        <v>456.47</v>
      </c>
      <c r="D31" s="7" t="n">
        <v>10683</v>
      </c>
      <c r="E31" s="4">
        <f>C31*D31</f>
        <v/>
      </c>
      <c r="F31" s="3" t="n">
        <v>11</v>
      </c>
    </row>
    <row r="32">
      <c r="A32" s="3" t="inlineStr">
        <is>
          <t>PM-01084</t>
        </is>
      </c>
      <c r="B32" s="3" t="inlineStr">
        <is>
          <t>Fasteners</t>
        </is>
      </c>
      <c r="C32" s="4" t="n">
        <v>468.86</v>
      </c>
      <c r="D32" s="7" t="n">
        <v>14436</v>
      </c>
      <c r="E32" s="4">
        <f>C32*D32</f>
        <v/>
      </c>
      <c r="F32" s="3" t="n">
        <v>13</v>
      </c>
    </row>
    <row r="33">
      <c r="A33" s="3" t="inlineStr">
        <is>
          <t>PM-01087</t>
        </is>
      </c>
      <c r="B33" s="3" t="inlineStr">
        <is>
          <t>Tools</t>
        </is>
      </c>
      <c r="C33" s="4" t="n">
        <v>308</v>
      </c>
      <c r="D33" s="7" t="n">
        <v>16249</v>
      </c>
      <c r="E33" s="4">
        <f>C33*D33</f>
        <v/>
      </c>
      <c r="F33" s="3" t="n">
        <v>18</v>
      </c>
    </row>
    <row r="34">
      <c r="A34" s="3" t="inlineStr">
        <is>
          <t>PM-01090</t>
        </is>
      </c>
      <c r="B34" s="3" t="inlineStr">
        <is>
          <t>Fabricated parts</t>
        </is>
      </c>
      <c r="C34" s="4" t="n">
        <v>218.77</v>
      </c>
      <c r="D34" s="7" t="n">
        <v>1966</v>
      </c>
      <c r="E34" s="4">
        <f>C34*D34</f>
        <v/>
      </c>
      <c r="F34" s="3" t="n">
        <v>34</v>
      </c>
    </row>
    <row r="35">
      <c r="A35" s="3" t="inlineStr">
        <is>
          <t>PM-01093</t>
        </is>
      </c>
      <c r="B35" s="3" t="inlineStr">
        <is>
          <t>Fasteners</t>
        </is>
      </c>
      <c r="C35" s="4" t="n">
        <v>792.5</v>
      </c>
      <c r="D35" s="7" t="n">
        <v>3856</v>
      </c>
      <c r="E35" s="4">
        <f>C35*D35</f>
        <v/>
      </c>
      <c r="F35" s="3" t="n">
        <v>22</v>
      </c>
    </row>
    <row r="36">
      <c r="A36" s="3" t="inlineStr">
        <is>
          <t>PM-01096</t>
        </is>
      </c>
      <c r="B36" s="3" t="inlineStr">
        <is>
          <t>Subassemblies</t>
        </is>
      </c>
      <c r="C36" s="4" t="n">
        <v>507.22</v>
      </c>
      <c r="D36" s="7" t="n">
        <v>11576</v>
      </c>
      <c r="E36" s="4">
        <f>C36*D36</f>
        <v/>
      </c>
      <c r="F36" s="3" t="n">
        <v>25</v>
      </c>
    </row>
    <row r="37">
      <c r="A37" s="3" t="inlineStr">
        <is>
          <t>PM-01099</t>
        </is>
      </c>
      <c r="B37" s="3" t="inlineStr">
        <is>
          <t>Tools</t>
        </is>
      </c>
      <c r="C37" s="4" t="n">
        <v>526.87</v>
      </c>
      <c r="D37" s="7" t="n">
        <v>16011</v>
      </c>
      <c r="E37" s="4">
        <f>C37*D37</f>
        <v/>
      </c>
      <c r="F37" s="3" t="n">
        <v>37</v>
      </c>
    </row>
    <row r="38">
      <c r="A38" s="3" t="inlineStr">
        <is>
          <t>PM-01102</t>
        </is>
      </c>
      <c r="B38" s="3" t="inlineStr">
        <is>
          <t>Bearings</t>
        </is>
      </c>
      <c r="C38" s="4" t="n">
        <v>503.23</v>
      </c>
      <c r="D38" s="7" t="n">
        <v>7985</v>
      </c>
      <c r="E38" s="4">
        <f>C38*D38</f>
        <v/>
      </c>
      <c r="F38" s="3" t="n">
        <v>38</v>
      </c>
    </row>
    <row r="39">
      <c r="A39" s="3" t="inlineStr">
        <is>
          <t>PM-01105</t>
        </is>
      </c>
      <c r="B39" s="3" t="inlineStr">
        <is>
          <t>Subassemblies</t>
        </is>
      </c>
      <c r="C39" s="4" t="n">
        <v>556.8200000000001</v>
      </c>
      <c r="D39" s="7" t="n">
        <v>8738</v>
      </c>
      <c r="E39" s="4">
        <f>C39*D39</f>
        <v/>
      </c>
      <c r="F39" s="3" t="n">
        <v>24</v>
      </c>
    </row>
    <row r="40">
      <c r="A40" s="3" t="inlineStr">
        <is>
          <t>PM-01108</t>
        </is>
      </c>
      <c r="B40" s="3" t="inlineStr">
        <is>
          <t>Fasteners</t>
        </is>
      </c>
      <c r="C40" s="4" t="n">
        <v>608.35</v>
      </c>
      <c r="D40" s="7" t="n">
        <v>1251</v>
      </c>
      <c r="E40" s="4">
        <f>C40*D40</f>
        <v/>
      </c>
      <c r="F40" s="3" t="n">
        <v>89</v>
      </c>
    </row>
    <row r="41">
      <c r="A41" s="3" t="inlineStr">
        <is>
          <t>PM-01111</t>
        </is>
      </c>
      <c r="B41" s="3" t="inlineStr">
        <is>
          <t>Bearings</t>
        </is>
      </c>
      <c r="C41" s="4" t="n">
        <v>93.19</v>
      </c>
      <c r="D41" s="7" t="n">
        <v>1134</v>
      </c>
      <c r="E41" s="4">
        <f>C41*D41</f>
        <v/>
      </c>
      <c r="F41" s="3" t="n">
        <v>68</v>
      </c>
    </row>
    <row r="42">
      <c r="A42" s="3" t="inlineStr">
        <is>
          <t>PM-01114</t>
        </is>
      </c>
      <c r="B42" s="3" t="inlineStr">
        <is>
          <t>Subassemblies</t>
        </is>
      </c>
      <c r="C42" s="4" t="n">
        <v>750.87</v>
      </c>
      <c r="D42" s="7" t="n">
        <v>9716</v>
      </c>
      <c r="E42" s="4">
        <f>C42*D42</f>
        <v/>
      </c>
      <c r="F42" s="3" t="n">
        <v>84</v>
      </c>
    </row>
    <row r="43">
      <c r="A43" s="3" t="inlineStr">
        <is>
          <t>PM-01117</t>
        </is>
      </c>
      <c r="B43" s="3" t="inlineStr">
        <is>
          <t>Bearings</t>
        </is>
      </c>
      <c r="C43" s="4" t="n">
        <v>184.59</v>
      </c>
      <c r="D43" s="7" t="n">
        <v>3221</v>
      </c>
      <c r="E43" s="4">
        <f>C43*D43</f>
        <v/>
      </c>
      <c r="F43" s="3" t="n">
        <v>12</v>
      </c>
    </row>
    <row r="44">
      <c r="A44" s="3" t="inlineStr">
        <is>
          <t>PM-01120</t>
        </is>
      </c>
      <c r="B44" s="3" t="inlineStr">
        <is>
          <t>Subassemblies</t>
        </is>
      </c>
      <c r="C44" s="4" t="n">
        <v>743.14</v>
      </c>
      <c r="D44" s="7" t="n">
        <v>16694</v>
      </c>
      <c r="E44" s="4">
        <f>C44*D44</f>
        <v/>
      </c>
      <c r="F44" s="3" t="n">
        <v>55</v>
      </c>
    </row>
    <row r="45">
      <c r="A45" s="3" t="inlineStr">
        <is>
          <t>PM-01123</t>
        </is>
      </c>
      <c r="B45" s="3" t="inlineStr">
        <is>
          <t>Maintenance items</t>
        </is>
      </c>
      <c r="C45" s="4" t="n">
        <v>108.24</v>
      </c>
      <c r="D45" s="7" t="n">
        <v>17221</v>
      </c>
      <c r="E45" s="4">
        <f>C45*D45</f>
        <v/>
      </c>
      <c r="F45" s="3" t="n">
        <v>63</v>
      </c>
    </row>
    <row r="46">
      <c r="A46" s="3" t="inlineStr">
        <is>
          <t>PM-01126</t>
        </is>
      </c>
      <c r="B46" s="3" t="inlineStr">
        <is>
          <t>Tools</t>
        </is>
      </c>
      <c r="C46" s="4" t="n">
        <v>265.18</v>
      </c>
      <c r="D46" s="7" t="n">
        <v>14474</v>
      </c>
      <c r="E46" s="4">
        <f>C46*D46</f>
        <v/>
      </c>
      <c r="F46" s="3" t="n">
        <v>91</v>
      </c>
    </row>
    <row r="47">
      <c r="A47" s="3" t="inlineStr">
        <is>
          <t>PM-01129</t>
        </is>
      </c>
      <c r="B47" s="3" t="inlineStr">
        <is>
          <t>Castings</t>
        </is>
      </c>
      <c r="C47" s="4" t="n">
        <v>381.46</v>
      </c>
      <c r="D47" s="7" t="n">
        <v>6411</v>
      </c>
      <c r="E47" s="4">
        <f>C47*D47</f>
        <v/>
      </c>
      <c r="F47" s="3" t="n">
        <v>53</v>
      </c>
    </row>
    <row r="48">
      <c r="A48" s="3" t="inlineStr">
        <is>
          <t>PM-01132</t>
        </is>
      </c>
      <c r="B48" s="3" t="inlineStr">
        <is>
          <t>Bearings</t>
        </is>
      </c>
      <c r="C48" s="4" t="n">
        <v>373.91</v>
      </c>
      <c r="D48" s="7" t="n">
        <v>8969</v>
      </c>
      <c r="E48" s="4">
        <f>C48*D48</f>
        <v/>
      </c>
      <c r="F48" s="3" t="n">
        <v>34</v>
      </c>
    </row>
    <row r="49">
      <c r="A49" s="3" t="inlineStr">
        <is>
          <t>PM-01135</t>
        </is>
      </c>
      <c r="B49" s="3" t="inlineStr">
        <is>
          <t>Tools</t>
        </is>
      </c>
      <c r="C49" s="4" t="n">
        <v>844.9299999999999</v>
      </c>
      <c r="D49" s="7" t="n">
        <v>7924</v>
      </c>
      <c r="E49" s="4">
        <f>C49*D49</f>
        <v/>
      </c>
      <c r="F49" s="3" t="n">
        <v>37</v>
      </c>
    </row>
    <row r="50">
      <c r="A50" s="3" t="inlineStr">
        <is>
          <t>PM-01138</t>
        </is>
      </c>
      <c r="B50" s="3" t="inlineStr">
        <is>
          <t>Bearings</t>
        </is>
      </c>
      <c r="C50" s="4" t="n">
        <v>802.76</v>
      </c>
      <c r="D50" s="7" t="n">
        <v>7182</v>
      </c>
      <c r="E50" s="4">
        <f>C50*D50</f>
        <v/>
      </c>
      <c r="F50" s="3" t="n">
        <v>31</v>
      </c>
    </row>
    <row r="51">
      <c r="A51" s="3" t="inlineStr">
        <is>
          <t>PM-01141</t>
        </is>
      </c>
      <c r="B51" s="3" t="inlineStr">
        <is>
          <t>Bearings</t>
        </is>
      </c>
      <c r="C51" s="4" t="n">
        <v>49.62</v>
      </c>
      <c r="D51" s="7" t="n">
        <v>10449</v>
      </c>
      <c r="E51" s="4">
        <f>C51*D51</f>
        <v/>
      </c>
      <c r="F51" s="3" t="n">
        <v>11</v>
      </c>
    </row>
    <row r="52">
      <c r="A52" s="3" t="inlineStr">
        <is>
          <t>PM-01144</t>
        </is>
      </c>
      <c r="B52" s="3" t="inlineStr">
        <is>
          <t>Maintenance items</t>
        </is>
      </c>
      <c r="C52" s="4" t="n">
        <v>523.1900000000001</v>
      </c>
      <c r="D52" s="7" t="n">
        <v>14454</v>
      </c>
      <c r="E52" s="4">
        <f>C52*D52</f>
        <v/>
      </c>
      <c r="F52" s="3" t="n">
        <v>9</v>
      </c>
    </row>
    <row r="53">
      <c r="A53" s="3" t="inlineStr">
        <is>
          <t>PM-01147</t>
        </is>
      </c>
      <c r="B53" s="3" t="inlineStr">
        <is>
          <t>Subassemblies</t>
        </is>
      </c>
      <c r="C53" s="4" t="n">
        <v>200.94</v>
      </c>
      <c r="D53" s="7" t="n">
        <v>7482</v>
      </c>
      <c r="E53" s="4">
        <f>C53*D53</f>
        <v/>
      </c>
      <c r="F53" s="3" t="n">
        <v>61</v>
      </c>
    </row>
    <row r="54">
      <c r="A54" s="3" t="inlineStr">
        <is>
          <t>PM-01150</t>
        </is>
      </c>
      <c r="B54" s="3" t="inlineStr">
        <is>
          <t>Tools</t>
        </is>
      </c>
      <c r="C54" s="4" t="n">
        <v>151.32</v>
      </c>
      <c r="D54" s="7" t="n">
        <v>1335</v>
      </c>
      <c r="E54" s="4">
        <f>C54*D54</f>
        <v/>
      </c>
      <c r="F54" s="3" t="n">
        <v>57</v>
      </c>
    </row>
    <row r="55">
      <c r="A55" s="3" t="inlineStr">
        <is>
          <t>PM-01153</t>
        </is>
      </c>
      <c r="B55" s="3" t="inlineStr">
        <is>
          <t>Tools</t>
        </is>
      </c>
      <c r="C55" s="4" t="n">
        <v>609.42</v>
      </c>
      <c r="D55" s="7" t="n">
        <v>1925</v>
      </c>
      <c r="E55" s="4">
        <f>C55*D55</f>
        <v/>
      </c>
      <c r="F55" s="3" t="n">
        <v>15</v>
      </c>
    </row>
    <row r="56">
      <c r="A56" s="3" t="inlineStr">
        <is>
          <t>PM-01156</t>
        </is>
      </c>
      <c r="B56" s="3" t="inlineStr">
        <is>
          <t>Castings</t>
        </is>
      </c>
      <c r="C56" s="4" t="n">
        <v>238.99</v>
      </c>
      <c r="D56" s="7" t="n">
        <v>11296</v>
      </c>
      <c r="E56" s="4">
        <f>C56*D56</f>
        <v/>
      </c>
      <c r="F56" s="3" t="n">
        <v>59</v>
      </c>
    </row>
    <row r="57">
      <c r="A57" s="3" t="inlineStr">
        <is>
          <t>PM-01159</t>
        </is>
      </c>
      <c r="B57" s="3" t="inlineStr">
        <is>
          <t>Fasteners</t>
        </is>
      </c>
      <c r="C57" s="4" t="n">
        <v>720.74</v>
      </c>
      <c r="D57" s="7" t="n">
        <v>12517</v>
      </c>
      <c r="E57" s="4">
        <f>C57*D57</f>
        <v/>
      </c>
      <c r="F57" s="3" t="n">
        <v>79</v>
      </c>
    </row>
    <row r="58">
      <c r="A58" s="3" t="inlineStr">
        <is>
          <t>PM-01162</t>
        </is>
      </c>
      <c r="B58" s="3" t="inlineStr">
        <is>
          <t>Subassemblies</t>
        </is>
      </c>
      <c r="C58" s="4" t="n">
        <v>108.76</v>
      </c>
      <c r="D58" s="7" t="n">
        <v>578</v>
      </c>
      <c r="E58" s="4">
        <f>C58*D58</f>
        <v/>
      </c>
      <c r="F58" s="3" t="n">
        <v>60</v>
      </c>
    </row>
    <row r="59">
      <c r="A59" s="3" t="inlineStr">
        <is>
          <t>PM-01165</t>
        </is>
      </c>
      <c r="B59" s="3" t="inlineStr">
        <is>
          <t>Tools</t>
        </is>
      </c>
      <c r="C59" s="4" t="n">
        <v>777.0700000000001</v>
      </c>
      <c r="D59" s="7" t="n">
        <v>10745</v>
      </c>
      <c r="E59" s="4">
        <f>C59*D59</f>
        <v/>
      </c>
      <c r="F59" s="3" t="n">
        <v>76</v>
      </c>
    </row>
    <row r="60">
      <c r="A60" s="3" t="inlineStr">
        <is>
          <t>PM-01168</t>
        </is>
      </c>
      <c r="B60" s="3" t="inlineStr">
        <is>
          <t>Subassemblies</t>
        </is>
      </c>
      <c r="C60" s="4" t="n">
        <v>763.1</v>
      </c>
      <c r="D60" s="7" t="n">
        <v>16330</v>
      </c>
      <c r="E60" s="4">
        <f>C60*D60</f>
        <v/>
      </c>
      <c r="F60" s="3" t="n">
        <v>47</v>
      </c>
    </row>
    <row r="61">
      <c r="A61" s="3" t="inlineStr">
        <is>
          <t>PM-01171</t>
        </is>
      </c>
      <c r="B61" s="3" t="inlineStr">
        <is>
          <t>Tools</t>
        </is>
      </c>
      <c r="C61" s="4" t="n">
        <v>168.79</v>
      </c>
      <c r="D61" s="7" t="n">
        <v>15030</v>
      </c>
      <c r="E61" s="4">
        <f>C61*D61</f>
        <v/>
      </c>
      <c r="F61" s="3" t="n">
        <v>66</v>
      </c>
    </row>
    <row r="62">
      <c r="A62" s="3" t="inlineStr">
        <is>
          <t>PM-01174</t>
        </is>
      </c>
      <c r="B62" s="3" t="inlineStr">
        <is>
          <t>Tools</t>
        </is>
      </c>
      <c r="C62" s="4" t="n">
        <v>828.9400000000001</v>
      </c>
      <c r="D62" s="7" t="n">
        <v>18112</v>
      </c>
      <c r="E62" s="4">
        <f>C62*D62</f>
        <v/>
      </c>
      <c r="F62" s="3" t="n">
        <v>34</v>
      </c>
    </row>
    <row r="63">
      <c r="A63" s="3" t="inlineStr">
        <is>
          <t>PM-01177</t>
        </is>
      </c>
      <c r="B63" s="3" t="inlineStr">
        <is>
          <t>Fabricated parts</t>
        </is>
      </c>
      <c r="C63" s="4" t="n">
        <v>719.55</v>
      </c>
      <c r="D63" s="7" t="n">
        <v>6662</v>
      </c>
      <c r="E63" s="4">
        <f>C63*D63</f>
        <v/>
      </c>
      <c r="F63" s="3" t="n">
        <v>17</v>
      </c>
    </row>
    <row r="64">
      <c r="A64" s="3" t="inlineStr">
        <is>
          <t>PM-01180</t>
        </is>
      </c>
      <c r="B64" s="3" t="inlineStr">
        <is>
          <t>Fasteners</t>
        </is>
      </c>
      <c r="C64" s="4" t="n">
        <v>139.59</v>
      </c>
      <c r="D64" s="7" t="n">
        <v>15781</v>
      </c>
      <c r="E64" s="4">
        <f>C64*D64</f>
        <v/>
      </c>
      <c r="F64" s="3" t="n">
        <v>75</v>
      </c>
    </row>
    <row r="65">
      <c r="A65" s="3" t="inlineStr">
        <is>
          <t>PM-01183</t>
        </is>
      </c>
      <c r="B65" s="3" t="inlineStr">
        <is>
          <t>Fabricated parts</t>
        </is>
      </c>
      <c r="C65" s="4" t="n">
        <v>511.99</v>
      </c>
      <c r="D65" s="7" t="n">
        <v>6722</v>
      </c>
      <c r="E65" s="4">
        <f>C65*D65</f>
        <v/>
      </c>
      <c r="F65" s="3" t="n">
        <v>78</v>
      </c>
    </row>
    <row r="66">
      <c r="A66" s="3" t="inlineStr">
        <is>
          <t>PM-01186</t>
        </is>
      </c>
      <c r="B66" s="3" t="inlineStr">
        <is>
          <t>Tools</t>
        </is>
      </c>
      <c r="C66" s="4" t="n">
        <v>623.47</v>
      </c>
      <c r="D66" s="7" t="n">
        <v>4931</v>
      </c>
      <c r="E66" s="4">
        <f>C66*D66</f>
        <v/>
      </c>
      <c r="F66" s="3" t="n">
        <v>51</v>
      </c>
    </row>
    <row r="67">
      <c r="A67" s="3" t="inlineStr">
        <is>
          <t>PM-01189</t>
        </is>
      </c>
      <c r="B67" s="3" t="inlineStr">
        <is>
          <t>Fasteners</t>
        </is>
      </c>
      <c r="C67" s="4" t="n">
        <v>507.24</v>
      </c>
      <c r="D67" s="7" t="n">
        <v>11493</v>
      </c>
      <c r="E67" s="4">
        <f>C67*D67</f>
        <v/>
      </c>
      <c r="F67" s="3" t="n">
        <v>47</v>
      </c>
    </row>
    <row r="68">
      <c r="A68" s="3" t="inlineStr">
        <is>
          <t>PM-01192</t>
        </is>
      </c>
      <c r="B68" s="3" t="inlineStr">
        <is>
          <t>Castings</t>
        </is>
      </c>
      <c r="C68" s="4" t="n">
        <v>829</v>
      </c>
      <c r="D68" s="7" t="n">
        <v>676</v>
      </c>
      <c r="E68" s="4">
        <f>C68*D68</f>
        <v/>
      </c>
      <c r="F68" s="3" t="n">
        <v>50</v>
      </c>
    </row>
    <row r="69">
      <c r="A69" s="3" t="inlineStr">
        <is>
          <t>PM-01195</t>
        </is>
      </c>
      <c r="B69" s="3" t="inlineStr">
        <is>
          <t>Tools</t>
        </is>
      </c>
      <c r="C69" s="4" t="n">
        <v>22.21</v>
      </c>
      <c r="D69" s="7" t="n">
        <v>5417</v>
      </c>
      <c r="E69" s="4">
        <f>C69*D69</f>
        <v/>
      </c>
      <c r="F69" s="3" t="n">
        <v>88</v>
      </c>
    </row>
    <row r="70">
      <c r="A70" s="3" t="inlineStr">
        <is>
          <t>PM-01198</t>
        </is>
      </c>
      <c r="B70" s="3" t="inlineStr">
        <is>
          <t>Fasteners</t>
        </is>
      </c>
      <c r="C70" s="4" t="n">
        <v>411.43</v>
      </c>
      <c r="D70" s="7" t="n">
        <v>10240</v>
      </c>
      <c r="E70" s="4">
        <f>C70*D70</f>
        <v/>
      </c>
      <c r="F70" s="3" t="n">
        <v>29</v>
      </c>
    </row>
    <row r="71">
      <c r="A71" s="3" t="inlineStr">
        <is>
          <t>PM-01201</t>
        </is>
      </c>
      <c r="B71" s="3" t="inlineStr">
        <is>
          <t>Fabricated parts</t>
        </is>
      </c>
      <c r="C71" s="4" t="n">
        <v>709.41</v>
      </c>
      <c r="D71" s="7" t="n">
        <v>3110</v>
      </c>
      <c r="E71" s="4">
        <f>C71*D71</f>
        <v/>
      </c>
      <c r="F71" s="3" t="n">
        <v>39</v>
      </c>
    </row>
    <row r="72">
      <c r="A72" s="3" t="inlineStr">
        <is>
          <t>PM-01204</t>
        </is>
      </c>
      <c r="B72" s="3" t="inlineStr">
        <is>
          <t>Subassemblies</t>
        </is>
      </c>
      <c r="C72" s="4" t="n">
        <v>727.91</v>
      </c>
      <c r="D72" s="7" t="n">
        <v>12113</v>
      </c>
      <c r="E72" s="4">
        <f>C72*D72</f>
        <v/>
      </c>
      <c r="F72" s="3" t="n">
        <v>83</v>
      </c>
    </row>
    <row r="73">
      <c r="A73" s="3" t="inlineStr">
        <is>
          <t>PM-01207</t>
        </is>
      </c>
      <c r="B73" s="3" t="inlineStr">
        <is>
          <t>Fasteners</t>
        </is>
      </c>
      <c r="C73" s="4" t="n">
        <v>732.95</v>
      </c>
      <c r="D73" s="7" t="n">
        <v>9626</v>
      </c>
      <c r="E73" s="4">
        <f>C73*D73</f>
        <v/>
      </c>
      <c r="F73" s="3" t="n">
        <v>56</v>
      </c>
    </row>
    <row r="74">
      <c r="A74" s="3" t="inlineStr">
        <is>
          <t>PM-01210</t>
        </is>
      </c>
      <c r="B74" s="3" t="inlineStr">
        <is>
          <t>Bearings</t>
        </is>
      </c>
      <c r="C74" s="4" t="n">
        <v>23.07</v>
      </c>
      <c r="D74" s="7" t="n">
        <v>915</v>
      </c>
      <c r="E74" s="4">
        <f>C74*D74</f>
        <v/>
      </c>
      <c r="F74" s="3" t="n">
        <v>84</v>
      </c>
    </row>
    <row r="75">
      <c r="A75" s="3" t="inlineStr">
        <is>
          <t>PM-01213</t>
        </is>
      </c>
      <c r="B75" s="3" t="inlineStr">
        <is>
          <t>Maintenance items</t>
        </is>
      </c>
      <c r="C75" s="4" t="n">
        <v>815.84</v>
      </c>
      <c r="D75" s="7" t="n">
        <v>3510</v>
      </c>
      <c r="E75" s="4">
        <f>C75*D75</f>
        <v/>
      </c>
      <c r="F75" s="3" t="n">
        <v>54</v>
      </c>
    </row>
    <row r="76">
      <c r="A76" s="3" t="inlineStr">
        <is>
          <t>PM-01216</t>
        </is>
      </c>
      <c r="B76" s="3" t="inlineStr">
        <is>
          <t>Subassemblies</t>
        </is>
      </c>
      <c r="C76" s="4" t="n">
        <v>176.9</v>
      </c>
      <c r="D76" s="7" t="n">
        <v>4808</v>
      </c>
      <c r="E76" s="4">
        <f>C76*D76</f>
        <v/>
      </c>
      <c r="F76" s="3" t="n">
        <v>37</v>
      </c>
    </row>
    <row r="77">
      <c r="A77" s="3" t="inlineStr">
        <is>
          <t>PM-01219</t>
        </is>
      </c>
      <c r="B77" s="3" t="inlineStr">
        <is>
          <t>Bearings</t>
        </is>
      </c>
      <c r="C77" s="4" t="n">
        <v>112.16</v>
      </c>
      <c r="D77" s="7" t="n">
        <v>10035</v>
      </c>
      <c r="E77" s="4">
        <f>C77*D77</f>
        <v/>
      </c>
      <c r="F77" s="3" t="n">
        <v>11</v>
      </c>
    </row>
    <row r="78">
      <c r="A78" s="3" t="inlineStr">
        <is>
          <t>PM-01222</t>
        </is>
      </c>
      <c r="B78" s="3" t="inlineStr">
        <is>
          <t>Bearings</t>
        </is>
      </c>
      <c r="C78" s="4" t="n">
        <v>644.92</v>
      </c>
      <c r="D78" s="7" t="n">
        <v>6645</v>
      </c>
      <c r="E78" s="4">
        <f>C78*D78</f>
        <v/>
      </c>
      <c r="F78" s="3" t="n">
        <v>33</v>
      </c>
    </row>
    <row r="79">
      <c r="A79" s="3" t="inlineStr">
        <is>
          <t>PM-01225</t>
        </is>
      </c>
      <c r="B79" s="3" t="inlineStr">
        <is>
          <t>Maintenance items</t>
        </is>
      </c>
      <c r="C79" s="4" t="n">
        <v>473.62</v>
      </c>
      <c r="D79" s="7" t="n">
        <v>16975</v>
      </c>
      <c r="E79" s="4">
        <f>C79*D79</f>
        <v/>
      </c>
      <c r="F79" s="3" t="n">
        <v>85</v>
      </c>
    </row>
    <row r="80">
      <c r="A80" s="3" t="inlineStr">
        <is>
          <t>PM-01228</t>
        </is>
      </c>
      <c r="B80" s="3" t="inlineStr">
        <is>
          <t>Fasteners</t>
        </is>
      </c>
      <c r="C80" s="4" t="n">
        <v>62.59</v>
      </c>
      <c r="D80" s="7" t="n">
        <v>12519</v>
      </c>
      <c r="E80" s="4">
        <f>C80*D80</f>
        <v/>
      </c>
      <c r="F80" s="3" t="n">
        <v>75</v>
      </c>
    </row>
    <row r="81">
      <c r="A81" s="3" t="inlineStr">
        <is>
          <t>PM-01231</t>
        </is>
      </c>
      <c r="B81" s="3" t="inlineStr">
        <is>
          <t>Maintenance items</t>
        </is>
      </c>
      <c r="C81" s="4" t="n">
        <v>838.8200000000001</v>
      </c>
      <c r="D81" s="7" t="n">
        <v>17613</v>
      </c>
      <c r="E81" s="4">
        <f>C81*D81</f>
        <v/>
      </c>
      <c r="F81" s="3" t="n">
        <v>24</v>
      </c>
    </row>
    <row r="82">
      <c r="A82" s="3" t="inlineStr">
        <is>
          <t>PM-01234</t>
        </is>
      </c>
      <c r="B82" s="3" t="inlineStr">
        <is>
          <t>Subassemblies</t>
        </is>
      </c>
      <c r="C82" s="4" t="n">
        <v>393.11</v>
      </c>
      <c r="D82" s="7" t="n">
        <v>611</v>
      </c>
      <c r="E82" s="4">
        <f>C82*D82</f>
        <v/>
      </c>
      <c r="F82" s="3" t="n">
        <v>45</v>
      </c>
    </row>
    <row r="83">
      <c r="A83" s="3" t="inlineStr">
        <is>
          <t>PM-01237</t>
        </is>
      </c>
      <c r="B83" s="3" t="inlineStr">
        <is>
          <t>Tools</t>
        </is>
      </c>
      <c r="C83" s="4" t="n">
        <v>385.53</v>
      </c>
      <c r="D83" s="7" t="n">
        <v>12823</v>
      </c>
      <c r="E83" s="4">
        <f>C83*D83</f>
        <v/>
      </c>
      <c r="F83" s="3" t="n">
        <v>50</v>
      </c>
    </row>
    <row r="84">
      <c r="A84" s="3" t="inlineStr">
        <is>
          <t>PM-01240</t>
        </is>
      </c>
      <c r="B84" s="3" t="inlineStr">
        <is>
          <t>Maintenance items</t>
        </is>
      </c>
      <c r="C84" s="4" t="n">
        <v>837.5599999999999</v>
      </c>
      <c r="D84" s="7" t="n">
        <v>10155</v>
      </c>
      <c r="E84" s="4">
        <f>C84*D84</f>
        <v/>
      </c>
      <c r="F84" s="3" t="n">
        <v>23</v>
      </c>
    </row>
    <row r="85">
      <c r="A85" s="3" t="inlineStr">
        <is>
          <t>PM-01243</t>
        </is>
      </c>
      <c r="B85" s="3" t="inlineStr">
        <is>
          <t>Castings</t>
        </is>
      </c>
      <c r="C85" s="4" t="n">
        <v>634.9400000000001</v>
      </c>
      <c r="D85" s="7" t="n">
        <v>17019</v>
      </c>
      <c r="E85" s="4">
        <f>C85*D85</f>
        <v/>
      </c>
      <c r="F85" s="3" t="n">
        <v>78</v>
      </c>
    </row>
    <row r="86">
      <c r="A86" s="3" t="inlineStr">
        <is>
          <t>PM-01246</t>
        </is>
      </c>
      <c r="B86" s="3" t="inlineStr">
        <is>
          <t>Maintenance items</t>
        </is>
      </c>
      <c r="C86" s="4" t="n">
        <v>409.6</v>
      </c>
      <c r="D86" s="7" t="n">
        <v>18472</v>
      </c>
      <c r="E86" s="4">
        <f>C86*D86</f>
        <v/>
      </c>
      <c r="F86" s="3" t="n">
        <v>65</v>
      </c>
    </row>
    <row r="87">
      <c r="A87" s="3" t="inlineStr">
        <is>
          <t>PM-01249</t>
        </is>
      </c>
      <c r="B87" s="3" t="inlineStr">
        <is>
          <t>Maintenance items</t>
        </is>
      </c>
      <c r="C87" s="4" t="n">
        <v>629.89</v>
      </c>
      <c r="D87" s="7" t="n">
        <v>12362</v>
      </c>
      <c r="E87" s="4">
        <f>C87*D87</f>
        <v/>
      </c>
      <c r="F87" s="3" t="n">
        <v>85</v>
      </c>
    </row>
    <row r="88">
      <c r="A88" s="3" t="inlineStr">
        <is>
          <t>PM-01252</t>
        </is>
      </c>
      <c r="B88" s="3" t="inlineStr">
        <is>
          <t>Tools</t>
        </is>
      </c>
      <c r="C88" s="4" t="n">
        <v>238.8</v>
      </c>
      <c r="D88" s="7" t="n">
        <v>14027</v>
      </c>
      <c r="E88" s="4">
        <f>C88*D88</f>
        <v/>
      </c>
      <c r="F88" s="3" t="n">
        <v>22</v>
      </c>
    </row>
    <row r="89">
      <c r="A89" s="3" t="inlineStr">
        <is>
          <t>PM-01255</t>
        </is>
      </c>
      <c r="B89" s="3" t="inlineStr">
        <is>
          <t>Maintenance items</t>
        </is>
      </c>
      <c r="C89" s="4" t="n">
        <v>348.93</v>
      </c>
      <c r="D89" s="7" t="n">
        <v>15826</v>
      </c>
      <c r="E89" s="4">
        <f>C89*D89</f>
        <v/>
      </c>
      <c r="F89" s="3" t="n">
        <v>73</v>
      </c>
    </row>
    <row r="90">
      <c r="A90" s="3" t="inlineStr">
        <is>
          <t>PM-01258</t>
        </is>
      </c>
      <c r="B90" s="3" t="inlineStr">
        <is>
          <t>Fabricated parts</t>
        </is>
      </c>
      <c r="C90" s="4" t="n">
        <v>440.7</v>
      </c>
      <c r="D90" s="7" t="n">
        <v>8568</v>
      </c>
      <c r="E90" s="4">
        <f>C90*D90</f>
        <v/>
      </c>
      <c r="F90" s="3" t="n">
        <v>82</v>
      </c>
    </row>
    <row r="91">
      <c r="A91" s="3" t="inlineStr">
        <is>
          <t>PM-01261</t>
        </is>
      </c>
      <c r="B91" s="3" t="inlineStr">
        <is>
          <t>Fasteners</t>
        </is>
      </c>
      <c r="C91" s="4" t="n">
        <v>841.74</v>
      </c>
      <c r="D91" s="7" t="n">
        <v>16410</v>
      </c>
      <c r="E91" s="4">
        <f>C91*D91</f>
        <v/>
      </c>
      <c r="F91" s="3" t="n">
        <v>26</v>
      </c>
    </row>
    <row r="92">
      <c r="A92" s="3" t="inlineStr">
        <is>
          <t>PM-01264</t>
        </is>
      </c>
      <c r="B92" s="3" t="inlineStr">
        <is>
          <t>Bearings</t>
        </is>
      </c>
      <c r="C92" s="4" t="n">
        <v>73.15000000000001</v>
      </c>
      <c r="D92" s="7" t="n">
        <v>647</v>
      </c>
      <c r="E92" s="4">
        <f>C92*D92</f>
        <v/>
      </c>
      <c r="F92" s="3" t="n">
        <v>22</v>
      </c>
    </row>
    <row r="93">
      <c r="A93" s="3" t="inlineStr">
        <is>
          <t>PM-01267</t>
        </is>
      </c>
      <c r="B93" s="3" t="inlineStr">
        <is>
          <t>Bearings</t>
        </is>
      </c>
      <c r="C93" s="4" t="n">
        <v>669.24</v>
      </c>
      <c r="D93" s="7" t="n">
        <v>11406</v>
      </c>
      <c r="E93" s="4">
        <f>C93*D93</f>
        <v/>
      </c>
      <c r="F93" s="3" t="n">
        <v>87</v>
      </c>
    </row>
    <row r="94">
      <c r="A94" s="3" t="inlineStr">
        <is>
          <t>PM-01270</t>
        </is>
      </c>
      <c r="B94" s="3" t="inlineStr">
        <is>
          <t>Fabricated parts</t>
        </is>
      </c>
      <c r="C94" s="4" t="n">
        <v>109.25</v>
      </c>
      <c r="D94" s="7" t="n">
        <v>16542</v>
      </c>
      <c r="E94" s="4">
        <f>C94*D94</f>
        <v/>
      </c>
      <c r="F94" s="3" t="n">
        <v>66</v>
      </c>
    </row>
    <row r="95">
      <c r="A95" s="3" t="inlineStr">
        <is>
          <t>PM-01273</t>
        </is>
      </c>
      <c r="B95" s="3" t="inlineStr">
        <is>
          <t>Subassemblies</t>
        </is>
      </c>
      <c r="C95" s="4" t="n">
        <v>376.71</v>
      </c>
      <c r="D95" s="7" t="n">
        <v>15942</v>
      </c>
      <c r="E95" s="4">
        <f>C95*D95</f>
        <v/>
      </c>
      <c r="F95" s="3" t="n">
        <v>87</v>
      </c>
    </row>
    <row r="96">
      <c r="A96" s="3" t="inlineStr">
        <is>
          <t>PM-01276</t>
        </is>
      </c>
      <c r="B96" s="3" t="inlineStr">
        <is>
          <t>Tools</t>
        </is>
      </c>
      <c r="C96" s="4" t="n">
        <v>227.44</v>
      </c>
      <c r="D96" s="7" t="n">
        <v>6746</v>
      </c>
      <c r="E96" s="4">
        <f>C96*D96</f>
        <v/>
      </c>
      <c r="F96" s="3" t="n">
        <v>30</v>
      </c>
    </row>
    <row r="97">
      <c r="A97" s="3" t="inlineStr">
        <is>
          <t>PM-01279</t>
        </is>
      </c>
      <c r="B97" s="3" t="inlineStr">
        <is>
          <t>Tools</t>
        </is>
      </c>
      <c r="C97" s="4" t="n">
        <v>516.77</v>
      </c>
      <c r="D97" s="7" t="n">
        <v>12822</v>
      </c>
      <c r="E97" s="4">
        <f>C97*D97</f>
        <v/>
      </c>
      <c r="F97" s="3" t="n">
        <v>8</v>
      </c>
    </row>
    <row r="98">
      <c r="A98" s="3" t="inlineStr">
        <is>
          <t>PM-01282</t>
        </is>
      </c>
      <c r="B98" s="3" t="inlineStr">
        <is>
          <t>Maintenance items</t>
        </is>
      </c>
      <c r="C98" s="4" t="n">
        <v>204.68</v>
      </c>
      <c r="D98" s="7" t="n">
        <v>454</v>
      </c>
      <c r="E98" s="4">
        <f>C98*D98</f>
        <v/>
      </c>
      <c r="F98" s="3" t="n">
        <v>40</v>
      </c>
    </row>
    <row r="99">
      <c r="A99" s="3" t="inlineStr">
        <is>
          <t>PM-01285</t>
        </is>
      </c>
      <c r="B99" s="3" t="inlineStr">
        <is>
          <t>Subassemblies</t>
        </is>
      </c>
      <c r="C99" s="4" t="n">
        <v>788.74</v>
      </c>
      <c r="D99" s="7" t="n">
        <v>12928</v>
      </c>
      <c r="E99" s="4">
        <f>C99*D99</f>
        <v/>
      </c>
      <c r="F99" s="3" t="n">
        <v>64</v>
      </c>
    </row>
    <row r="100">
      <c r="A100" s="3" t="inlineStr">
        <is>
          <t>PM-01288</t>
        </is>
      </c>
      <c r="B100" s="3" t="inlineStr">
        <is>
          <t>Fasteners</t>
        </is>
      </c>
      <c r="C100" s="4" t="n">
        <v>765.41</v>
      </c>
      <c r="D100" s="7" t="n">
        <v>7665</v>
      </c>
      <c r="E100" s="4">
        <f>C100*D100</f>
        <v/>
      </c>
      <c r="F100" s="3" t="n">
        <v>26</v>
      </c>
    </row>
    <row r="101">
      <c r="A101" s="3" t="inlineStr">
        <is>
          <t>PM-01291</t>
        </is>
      </c>
      <c r="B101" s="3" t="inlineStr">
        <is>
          <t>Tools</t>
        </is>
      </c>
      <c r="C101" s="4" t="n">
        <v>497.56</v>
      </c>
      <c r="D101" s="7" t="n">
        <v>8731</v>
      </c>
      <c r="E101" s="4">
        <f>C101*D101</f>
        <v/>
      </c>
      <c r="F101" s="3" t="n">
        <v>84</v>
      </c>
    </row>
    <row r="102">
      <c r="A102" s="3" t="inlineStr">
        <is>
          <t>PM-01294</t>
        </is>
      </c>
      <c r="B102" s="3" t="inlineStr">
        <is>
          <t>Maintenance items</t>
        </is>
      </c>
      <c r="C102" s="4" t="n">
        <v>585.73</v>
      </c>
      <c r="D102" s="7" t="n">
        <v>1821</v>
      </c>
      <c r="E102" s="4">
        <f>C102*D102</f>
        <v/>
      </c>
      <c r="F102" s="3" t="n">
        <v>10</v>
      </c>
    </row>
    <row r="103">
      <c r="A103" s="3" t="inlineStr">
        <is>
          <t>PM-01297</t>
        </is>
      </c>
      <c r="B103" s="3" t="inlineStr">
        <is>
          <t>Fabricated parts</t>
        </is>
      </c>
      <c r="C103" s="4" t="n">
        <v>457.18</v>
      </c>
      <c r="D103" s="7" t="n">
        <v>11369</v>
      </c>
      <c r="E103" s="4">
        <f>C103*D103</f>
        <v/>
      </c>
      <c r="F103" s="3" t="n">
        <v>70</v>
      </c>
    </row>
    <row r="104">
      <c r="A104" s="3" t="inlineStr">
        <is>
          <t>PM-01300</t>
        </is>
      </c>
      <c r="B104" s="3" t="inlineStr">
        <is>
          <t>Tools</t>
        </is>
      </c>
      <c r="C104" s="4" t="n">
        <v>345.62</v>
      </c>
      <c r="D104" s="7" t="n">
        <v>8081</v>
      </c>
      <c r="E104" s="4">
        <f>C104*D104</f>
        <v/>
      </c>
      <c r="F104" s="3" t="n">
        <v>36</v>
      </c>
    </row>
    <row r="105">
      <c r="A105" s="3" t="inlineStr">
        <is>
          <t>PM-01303</t>
        </is>
      </c>
      <c r="B105" s="3" t="inlineStr">
        <is>
          <t>Bearings</t>
        </is>
      </c>
      <c r="C105" s="4" t="n">
        <v>669.49</v>
      </c>
      <c r="D105" s="7" t="n">
        <v>11008</v>
      </c>
      <c r="E105" s="4">
        <f>C105*D105</f>
        <v/>
      </c>
      <c r="F105" s="3" t="n">
        <v>74</v>
      </c>
    </row>
    <row r="106">
      <c r="A106" s="3" t="inlineStr">
        <is>
          <t>PM-01306</t>
        </is>
      </c>
      <c r="B106" s="3" t="inlineStr">
        <is>
          <t>Fasteners</t>
        </is>
      </c>
      <c r="C106" s="4" t="n">
        <v>203.77</v>
      </c>
      <c r="D106" s="7" t="n">
        <v>392</v>
      </c>
      <c r="E106" s="4">
        <f>C106*D106</f>
        <v/>
      </c>
      <c r="F106" s="3" t="n">
        <v>32</v>
      </c>
    </row>
    <row r="107">
      <c r="A107" s="3" t="inlineStr">
        <is>
          <t>PM-01309</t>
        </is>
      </c>
      <c r="B107" s="3" t="inlineStr">
        <is>
          <t>Fasteners</t>
        </is>
      </c>
      <c r="C107" s="4" t="n">
        <v>197.55</v>
      </c>
      <c r="D107" s="7" t="n">
        <v>11695</v>
      </c>
      <c r="E107" s="4">
        <f>C107*D107</f>
        <v/>
      </c>
      <c r="F107" s="3" t="n">
        <v>81</v>
      </c>
    </row>
    <row r="108">
      <c r="A108" s="3" t="inlineStr">
        <is>
          <t>PM-01312</t>
        </is>
      </c>
      <c r="B108" s="3" t="inlineStr">
        <is>
          <t>Maintenance items</t>
        </is>
      </c>
      <c r="C108" s="4" t="n">
        <v>679.87</v>
      </c>
      <c r="D108" s="7" t="n">
        <v>12193</v>
      </c>
      <c r="E108" s="4">
        <f>C108*D108</f>
        <v/>
      </c>
      <c r="F108" s="3" t="n">
        <v>41</v>
      </c>
    </row>
    <row r="109">
      <c r="A109" s="3" t="inlineStr">
        <is>
          <t>PM-01315</t>
        </is>
      </c>
      <c r="B109" s="3" t="inlineStr">
        <is>
          <t>Bearings</t>
        </is>
      </c>
      <c r="C109" s="4" t="n">
        <v>601.89</v>
      </c>
      <c r="D109" s="7" t="n">
        <v>5026</v>
      </c>
      <c r="E109" s="4">
        <f>C109*D109</f>
        <v/>
      </c>
      <c r="F109" s="3" t="n">
        <v>41</v>
      </c>
    </row>
    <row r="110">
      <c r="A110" s="3" t="inlineStr">
        <is>
          <t>PM-01318</t>
        </is>
      </c>
      <c r="B110" s="3" t="inlineStr">
        <is>
          <t>Tools</t>
        </is>
      </c>
      <c r="C110" s="4" t="n">
        <v>792.29</v>
      </c>
      <c r="D110" s="7" t="n">
        <v>16198</v>
      </c>
      <c r="E110" s="4">
        <f>C110*D110</f>
        <v/>
      </c>
      <c r="F110" s="3" t="n">
        <v>68</v>
      </c>
    </row>
    <row r="111">
      <c r="A111" s="3" t="inlineStr">
        <is>
          <t>PM-01321</t>
        </is>
      </c>
      <c r="B111" s="3" t="inlineStr">
        <is>
          <t>Tools</t>
        </is>
      </c>
      <c r="C111" s="4" t="n">
        <v>785.64</v>
      </c>
      <c r="D111" s="7" t="n">
        <v>18446</v>
      </c>
      <c r="E111" s="4">
        <f>C111*D111</f>
        <v/>
      </c>
      <c r="F111" s="3" t="n">
        <v>21</v>
      </c>
    </row>
    <row r="112">
      <c r="A112" s="3" t="inlineStr">
        <is>
          <t>PM-01324</t>
        </is>
      </c>
      <c r="B112" s="3" t="inlineStr">
        <is>
          <t>Maintenance items</t>
        </is>
      </c>
      <c r="C112" s="4" t="n">
        <v>341.32</v>
      </c>
      <c r="D112" s="7" t="n">
        <v>8034</v>
      </c>
      <c r="E112" s="4">
        <f>C112*D112</f>
        <v/>
      </c>
      <c r="F112" s="3" t="n">
        <v>65</v>
      </c>
    </row>
    <row r="113">
      <c r="A113" s="3" t="inlineStr">
        <is>
          <t>PM-01327</t>
        </is>
      </c>
      <c r="B113" s="3" t="inlineStr">
        <is>
          <t>Fasteners</t>
        </is>
      </c>
      <c r="C113" s="4" t="n">
        <v>494.27</v>
      </c>
      <c r="D113" s="7" t="n">
        <v>15371</v>
      </c>
      <c r="E113" s="4">
        <f>C113*D113</f>
        <v/>
      </c>
      <c r="F113" s="3" t="n">
        <v>88</v>
      </c>
    </row>
    <row r="114">
      <c r="A114" s="3" t="inlineStr">
        <is>
          <t>PM-01330</t>
        </is>
      </c>
      <c r="B114" s="3" t="inlineStr">
        <is>
          <t>Fabricated parts</t>
        </is>
      </c>
      <c r="C114" s="4" t="n">
        <v>83.20999999999999</v>
      </c>
      <c r="D114" s="7" t="n">
        <v>16038</v>
      </c>
      <c r="E114" s="4">
        <f>C114*D114</f>
        <v/>
      </c>
      <c r="F114" s="3" t="n">
        <v>37</v>
      </c>
    </row>
    <row r="115">
      <c r="A115" s="3" t="inlineStr">
        <is>
          <t>PM-01333</t>
        </is>
      </c>
      <c r="B115" s="3" t="inlineStr">
        <is>
          <t>Castings</t>
        </is>
      </c>
      <c r="C115" s="4" t="n">
        <v>540.28</v>
      </c>
      <c r="D115" s="7" t="n">
        <v>7486</v>
      </c>
      <c r="E115" s="4">
        <f>C115*D115</f>
        <v/>
      </c>
      <c r="F115" s="3" t="n">
        <v>62</v>
      </c>
    </row>
    <row r="116">
      <c r="A116" s="3" t="inlineStr">
        <is>
          <t>PM-01336</t>
        </is>
      </c>
      <c r="B116" s="3" t="inlineStr">
        <is>
          <t>Bearings</t>
        </is>
      </c>
      <c r="C116" s="4" t="n">
        <v>364.36</v>
      </c>
      <c r="D116" s="7" t="n">
        <v>4410</v>
      </c>
      <c r="E116" s="4">
        <f>C116*D116</f>
        <v/>
      </c>
      <c r="F116" s="3" t="n">
        <v>23</v>
      </c>
    </row>
    <row r="117">
      <c r="A117" s="3" t="inlineStr">
        <is>
          <t>PM-01339</t>
        </is>
      </c>
      <c r="B117" s="3" t="inlineStr">
        <is>
          <t>Fasteners</t>
        </is>
      </c>
      <c r="C117" s="4" t="n">
        <v>424.16</v>
      </c>
      <c r="D117" s="7" t="n">
        <v>10328</v>
      </c>
      <c r="E117" s="4">
        <f>C117*D117</f>
        <v/>
      </c>
      <c r="F117" s="3" t="n">
        <v>25</v>
      </c>
    </row>
    <row r="118">
      <c r="A118" s="3" t="inlineStr">
        <is>
          <t>PM-01342</t>
        </is>
      </c>
      <c r="B118" s="3" t="inlineStr">
        <is>
          <t>Fabricated parts</t>
        </is>
      </c>
      <c r="C118" s="4" t="n">
        <v>761.78</v>
      </c>
      <c r="D118" s="7" t="n">
        <v>4734</v>
      </c>
      <c r="E118" s="4">
        <f>C118*D118</f>
        <v/>
      </c>
      <c r="F118" s="3" t="n">
        <v>28</v>
      </c>
    </row>
    <row r="119">
      <c r="A119" s="3" t="inlineStr">
        <is>
          <t>PM-01345</t>
        </is>
      </c>
      <c r="B119" s="3" t="inlineStr">
        <is>
          <t>Bearings</t>
        </is>
      </c>
      <c r="C119" s="4" t="n">
        <v>564.41</v>
      </c>
      <c r="D119" s="7" t="n">
        <v>7766</v>
      </c>
      <c r="E119" s="4">
        <f>C119*D119</f>
        <v/>
      </c>
      <c r="F119" s="3" t="n">
        <v>93</v>
      </c>
    </row>
    <row r="120">
      <c r="A120" s="3" t="inlineStr">
        <is>
          <t>PM-01348</t>
        </is>
      </c>
      <c r="B120" s="3" t="inlineStr">
        <is>
          <t>Fabricated parts</t>
        </is>
      </c>
      <c r="C120" s="4" t="n">
        <v>571.02</v>
      </c>
      <c r="D120" s="7" t="n">
        <v>8860</v>
      </c>
      <c r="E120" s="4">
        <f>C120*D120</f>
        <v/>
      </c>
      <c r="F120" s="3" t="n">
        <v>41</v>
      </c>
    </row>
    <row r="121">
      <c r="A121" s="3" t="inlineStr">
        <is>
          <t>PM-01351</t>
        </is>
      </c>
      <c r="B121" s="3" t="inlineStr">
        <is>
          <t>Tools</t>
        </is>
      </c>
      <c r="C121" s="4" t="n">
        <v>534.1900000000001</v>
      </c>
      <c r="D121" s="7" t="n">
        <v>15810</v>
      </c>
      <c r="E121" s="4">
        <f>C121*D121</f>
        <v/>
      </c>
      <c r="F121" s="3" t="n">
        <v>42</v>
      </c>
    </row>
    <row r="122">
      <c r="A122" s="3" t="inlineStr">
        <is>
          <t>PM-01354</t>
        </is>
      </c>
      <c r="B122" s="3" t="inlineStr">
        <is>
          <t>Bearings</t>
        </is>
      </c>
      <c r="C122" s="4" t="n">
        <v>531.23</v>
      </c>
      <c r="D122" s="7" t="n">
        <v>3315</v>
      </c>
      <c r="E122" s="4">
        <f>C122*D122</f>
        <v/>
      </c>
      <c r="F122" s="3" t="n">
        <v>53</v>
      </c>
    </row>
    <row r="123">
      <c r="A123" s="3" t="inlineStr">
        <is>
          <t>PM-01357</t>
        </is>
      </c>
      <c r="B123" s="3" t="inlineStr">
        <is>
          <t>Tools</t>
        </is>
      </c>
      <c r="C123" s="4" t="n">
        <v>581.79</v>
      </c>
      <c r="D123" s="7" t="n">
        <v>3974</v>
      </c>
      <c r="E123" s="4">
        <f>C123*D123</f>
        <v/>
      </c>
      <c r="F123" s="3" t="n">
        <v>39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3" t="inlineStr">
        <is>
          <t>Fact</t>
        </is>
      </c>
      <c r="B1" s="13" t="inlineStr">
        <is>
          <t>Value</t>
        </is>
      </c>
    </row>
    <row r="2">
      <c r="A2" t="inlineStr">
        <is>
          <t>Total revenue FY2025</t>
        </is>
      </c>
      <c r="B2" t="inlineStr">
        <is>
          <t>$248,700,000.00</t>
        </is>
      </c>
    </row>
    <row r="3">
      <c r="A3" t="inlineStr">
        <is>
          <t>Gross margin</t>
        </is>
      </c>
      <c r="B3" t="inlineStr">
        <is>
          <t>26.97%</t>
        </is>
      </c>
    </row>
    <row r="4">
      <c r="A4" t="inlineStr">
        <is>
          <t>Operating income</t>
        </is>
      </c>
      <c r="B4" t="inlineStr">
        <is>
          <t>$22,830,000.00</t>
        </is>
      </c>
    </row>
    <row r="5">
      <c r="A5" t="inlineStr">
        <is>
          <t>EBITDA</t>
        </is>
      </c>
      <c r="B5" t="inlineStr">
        <is>
          <t>$34,180,000.00</t>
        </is>
      </c>
    </row>
    <row r="6">
      <c r="A6" t="inlineStr">
        <is>
          <t>Units produced (M)</t>
        </is>
      </c>
      <c r="B6" t="inlineStr">
        <is>
          <t>18.4</t>
        </is>
      </c>
    </row>
    <row r="7">
      <c r="A7" t="inlineStr">
        <is>
          <t>Total production facilities</t>
        </is>
      </c>
      <c r="B7" t="inlineStr">
        <is>
          <t>7</t>
        </is>
      </c>
    </row>
    <row r="8">
      <c r="A8" t="inlineStr">
        <is>
          <t>Largest plant by output</t>
        </is>
      </c>
      <c r="B8" t="inlineStr">
        <is>
          <t>Tacoma WA — 5.19M units (28.2% of total)</t>
        </is>
      </c>
    </row>
    <row r="9">
      <c r="A9" t="inlineStr">
        <is>
          <t>Most efficient plant by yield</t>
        </is>
      </c>
      <c r="B9" t="inlineStr">
        <is>
          <t>Tacoma WA — 96.4% yield</t>
        </is>
      </c>
    </row>
    <row r="10">
      <c r="A10" t="inlineStr">
        <is>
          <t>Lowest-output plant</t>
        </is>
      </c>
      <c r="B10" t="inlineStr">
        <is>
          <t>Greenville SC — 1.34M units</t>
        </is>
      </c>
    </row>
    <row r="11">
      <c r="A11" t="inlineStr">
        <is>
          <t>Total production employees</t>
        </is>
      </c>
      <c r="B11" t="inlineStr">
        <is>
          <t>1,482</t>
        </is>
      </c>
    </row>
    <row r="12">
      <c r="A12" t="inlineStr">
        <is>
          <t>Inventory turns</t>
        </is>
      </c>
      <c r="B12" t="inlineStr">
        <is>
          <t>6.8</t>
        </is>
      </c>
    </row>
    <row r="13">
      <c r="A13" t="inlineStr">
        <is>
          <t>Total inventory SKUs tracked</t>
        </is>
      </c>
      <c r="B13" t="inlineStr">
        <is>
          <t>120</t>
        </is>
      </c>
    </row>
    <row r="14">
      <c r="A14" t="inlineStr">
        <is>
          <t>FY2025 raw materials (steel + polymer)</t>
        </is>
      </c>
      <c r="B14" t="inlineStr">
        <is>
          <t>approx $122M combined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2026-05-23T20:30:03Z</dcterms:created>
  <dcterms:modified xmlns:dcterms="http://purl.org/dc/terms/" xmlns:xsi="http://www.w3.org/2001/XMLSchema-instance" xsi:type="dcterms:W3CDTF">2026-05-23T20:30:03Z</dcterms:modified>
</cp:coreProperties>
</file>